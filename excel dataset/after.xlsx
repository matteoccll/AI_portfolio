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tte\OneDrive\Desktop\"/>
    </mc:Choice>
  </mc:AlternateContent>
  <xr:revisionPtr revIDLastSave="0" documentId="13_ncr:1_{CB98EBB7-48A6-487E-8C1F-AA040FFB343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Location 1" sheetId="8" r:id="rId1"/>
    <sheet name="Location 2" sheetId="5" r:id="rId2"/>
    <sheet name="Location 3" sheetId="4" r:id="rId3"/>
    <sheet name="Summar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8" l="1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3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3" i="8"/>
  <c r="B32" i="8"/>
  <c r="B3" i="6" s="1"/>
  <c r="C32" i="8"/>
  <c r="C3" i="6" s="1"/>
  <c r="B32" i="5"/>
  <c r="B32" i="4"/>
  <c r="B5" i="6" s="1"/>
  <c r="L19" i="4"/>
  <c r="L3" i="4"/>
  <c r="L3" i="5"/>
  <c r="J32" i="8"/>
  <c r="H3" i="6" s="1"/>
  <c r="H32" i="8"/>
  <c r="G3" i="6" s="1"/>
  <c r="G32" i="8"/>
  <c r="F3" i="6" s="1"/>
  <c r="F32" i="8"/>
  <c r="E3" i="6" s="1"/>
  <c r="E32" i="8"/>
  <c r="D3" i="6" s="1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J32" i="5"/>
  <c r="H4" i="6" s="1"/>
  <c r="H32" i="5"/>
  <c r="G4" i="6" s="1"/>
  <c r="G32" i="5"/>
  <c r="F4" i="6" s="1"/>
  <c r="F32" i="5"/>
  <c r="E4" i="6" s="1"/>
  <c r="E32" i="5"/>
  <c r="D4" i="6" s="1"/>
  <c r="C32" i="5"/>
  <c r="C4" i="6" s="1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1" i="4"/>
  <c r="L30" i="4"/>
  <c r="L29" i="4"/>
  <c r="L28" i="4"/>
  <c r="L27" i="4"/>
  <c r="L26" i="4"/>
  <c r="L25" i="4"/>
  <c r="L24" i="4"/>
  <c r="L23" i="4"/>
  <c r="L22" i="4"/>
  <c r="L21" i="4"/>
  <c r="L20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F32" i="4"/>
  <c r="E5" i="6" s="1"/>
  <c r="E32" i="4"/>
  <c r="D5" i="6" s="1"/>
  <c r="J32" i="4"/>
  <c r="H5" i="6" s="1"/>
  <c r="G32" i="4"/>
  <c r="F5" i="6" s="1"/>
  <c r="C32" i="4"/>
  <c r="C5" i="6" s="1"/>
  <c r="H32" i="4"/>
  <c r="G5" i="6" s="1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tc={33FF5ECB-B57A-4B6D-AD41-5D458F804851}</author>
    <author>tc={2755C7E3-EEC6-48EB-8A32-5A777A090836}</author>
    <author>tc={5E7E3541-790E-4885-AB52-A692DF97EC62}</author>
    <author>tc={BE7C4057-5797-453B-8767-479C11A8F73B}</author>
    <author>tc={5047E617-86EE-4999-877D-5879612757EE}</author>
    <author>tc={9D699279-F450-46C7-B27C-A2538A3407C8}</author>
    <author>tc={ED94D0EF-5F02-4E0B-9483-E066A7582838}</author>
  </authors>
  <commentList>
    <comment ref="A7" authorId="0" shapeId="0" xr:uid="{33FF5ECB-B57A-4B6D-AD41-5D458F8048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reported “Already recalled”. Unclear to which outcome it refers to (presumably to “already assessed”, but column empty). 
It might indicate data corruption. To investigate.</t>
      </text>
    </comment>
    <comment ref="A10" authorId="1" shapeId="0" xr:uid="{2755C7E3-EEC6-48EB-8A32-5A777A0908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“self-referred”, likely referring to “Already assessed”. Deemed unnecessary, removed. </t>
      </text>
    </comment>
    <comment ref="A11" authorId="2" shapeId="0" xr:uid="{5E7E3541-790E-4885-AB52-A692DF97EC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“self-referred”, likely referring to “Already assessed”. Deemed unnecessary, removed. </t>
      </text>
    </comment>
    <comment ref="A15" authorId="3" shapeId="0" xr:uid="{BE7C4057-5797-453B-8767-479C11A8F7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Unspecified note “Self-Referral in July 2023 as wife felt memory had worsened , however had a TIA, discharged from service in November 2023 as needs 6 months of physical health stability for reassessment”.  
To which outcome does this refer to? Data is corrupted, as “data integrity check” reports +1; this note refers to someone not recorded.  </t>
      </text>
    </comment>
    <comment ref="A21" authorId="4" shapeId="0" xr:uid="{5047E617-86EE-4999-877D-587961275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“1 with complex team and likely to be referred for memory ax, 1 in hospital rehab ward  due to physical health, 1 no changes to memory also had a bad experience of Crystal Centre (waiting long times for feedback appointment, waiting room felt cold and uninviting, offered potential home visits still declined as no changes)”.
Individually addressed in section 4 of the report. </t>
      </text>
    </comment>
    <comment ref="A28" authorId="5" shapeId="0" xr:uid="{9D699279-F450-46C7-B27C-A2538A3407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“1x SU declined to know dx but consented too son knowing. Son wanted a re ax, in the end memory nurse contacted SU who decline recall”. 
Presumably refers to the n=1 under “Declined”.  </t>
      </text>
    </comment>
    <comment ref="A30" authorId="6" shapeId="0" xr:uid="{ED94D0EF-5F02-4E0B-9483-E066A75828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reports “1x  Dementia”, but only 1 (instead of 2) under “Unsuitable”. Corrupted total? Wrong note?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tc={194D46B6-AFEB-40EE-8B6D-7DB86B5197BE}</author>
    <author>tc={1D26730B-549D-4A7F-9DA2-6854E9590E45}</author>
    <author>tc={F09981D1-D23A-40F4-9901-5611B8A12489}</author>
  </authors>
  <commentList>
    <comment ref="A11" authorId="0" shapeId="0" xr:uid="{194D46B6-AFEB-40EE-8B6D-7DB86B5197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“Already recalled - MCI remains the same”. It should refer to the n=1 under “already assessed”. Deemed unnecessary, removed. </t>
      </text>
    </comment>
    <comment ref="A28" authorId="1" shapeId="0" xr:uid="{1D26730B-549D-4A7F-9DA2-6854E9590E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reports “1x Deceased”, but no entry under “Unsuitable”. The absence of this entry explains the
+1 under “Data integrity check”
</t>
      </text>
    </comment>
    <comment ref="A30" authorId="2" shapeId="0" xr:uid="{F09981D1-D23A-40F4-9901-5611B8A124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reports “1x Deceased”, but no entry under “Unsuitable”. The absence of this entry explains the
+1 under “Data integrity check”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tc={C6C3DED7-B215-4599-89C4-1D6E79ED9204}</author>
    <author>tc={0536F5A2-2390-4C90-B418-0471650E9FF0}</author>
  </authors>
  <commentList>
    <comment ref="A18" authorId="0" shapeId="0" xr:uid="{C6C3DED7-B215-4599-89C4-1D6E79ED92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reported “1x out of area but accepted recall”. Not clear to which column this note refers to. 
If to “ACCEPTED”, then remove, unnecessary. If to one of the n=3 under “declined”, then wrong column, should be in “postponed”; if to “postponed”, then data is corrupted (= unexplained n.)
</t>
      </text>
    </comment>
    <comment ref="A19" authorId="1" shapeId="0" xr:uid="{0536F5A2-2390-4C90-B418-0471650E9F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reported “1x Declined”, but there is no entry under “Declined”. That explains +1 of the +2 under “Data integrity check”</t>
      </text>
    </comment>
  </commentList>
</comments>
</file>

<file path=xl/sharedStrings.xml><?xml version="1.0" encoding="utf-8"?>
<sst xmlns="http://schemas.openxmlformats.org/spreadsheetml/2006/main" count="90" uniqueCount="47">
  <si>
    <t>Month</t>
  </si>
  <si>
    <t>No. of people to be re-assessed</t>
  </si>
  <si>
    <t>No Contact established</t>
  </si>
  <si>
    <t>ACCEPTED reassessment</t>
  </si>
  <si>
    <t>LOCATION 2 MCI Reassessment uptake</t>
  </si>
  <si>
    <t>LOCATION 1 MCI Reassessment uptake</t>
  </si>
  <si>
    <t>LOCATION 3 MCI Reassessment uptake</t>
  </si>
  <si>
    <t>TOTAL</t>
  </si>
  <si>
    <t>POSTPONED reasons</t>
  </si>
  <si>
    <t>UNSUITABLE reasons</t>
  </si>
  <si>
    <t>Unsuitable for reassessment (click "+" for reasons)</t>
  </si>
  <si>
    <t>Declined reassessment</t>
  </si>
  <si>
    <t>Postponed reassessment (click "+" for reasons)</t>
  </si>
  <si>
    <t xml:space="preserve">Already assessed           (i.e. by another service) by the time of contact </t>
  </si>
  <si>
    <t>Data integrity check (must be =0)</t>
  </si>
  <si>
    <t>1x Deceased</t>
  </si>
  <si>
    <t>1x Already diagnosed</t>
  </si>
  <si>
    <t xml:space="preserve">1x Patient gone to the USA for 3 months </t>
  </si>
  <si>
    <t>1x Patient undergoing cancer treatment</t>
  </si>
  <si>
    <t>1x Deceased; 1x Dementia; 1x Already awaiting MASS</t>
  </si>
  <si>
    <t>1x Dementia</t>
  </si>
  <si>
    <t>1x Moved out of area</t>
  </si>
  <si>
    <t xml:space="preserve">1x Physical health difficulties and change of accommodation </t>
  </si>
  <si>
    <t xml:space="preserve">1x Physical health difficulties </t>
  </si>
  <si>
    <t xml:space="preserve">1x Inpatient </t>
  </si>
  <si>
    <t xml:space="preserve">1x Deceased  </t>
  </si>
  <si>
    <t xml:space="preserve">1x Deceased </t>
  </si>
  <si>
    <t>1x Currently in hospital following heart attack. To be reassessed on recovery</t>
  </si>
  <si>
    <t>1x Postponed to allow for optimisation following physical health issues and bereavement.</t>
  </si>
  <si>
    <t xml:space="preserve">1x Postponed due to MCI Group engagement </t>
  </si>
  <si>
    <t>1x Delayed recall due to mood</t>
  </si>
  <si>
    <t xml:space="preserve">1x Did not consent to know the outcome of assessment. </t>
  </si>
  <si>
    <t>1x Alzheimer's</t>
  </si>
  <si>
    <t>1x Deceased;  1x Dementia;  1x Did not consent to knowing diagnosis</t>
  </si>
  <si>
    <t xml:space="preserve">1x Deceased; 1x Dementia </t>
  </si>
  <si>
    <t>Location</t>
  </si>
  <si>
    <t>Location 1</t>
  </si>
  <si>
    <t>Already assessed</t>
  </si>
  <si>
    <t>Unsuitable for reassessment</t>
  </si>
  <si>
    <t>Postponed reassessment</t>
  </si>
  <si>
    <t>Location 2</t>
  </si>
  <si>
    <t>Location 3</t>
  </si>
  <si>
    <t>TOTALS &amp; BREAKDOWNS</t>
  </si>
  <si>
    <t>COMPLETION OVER TIME</t>
  </si>
  <si>
    <t>WORKLOAD TREND</t>
  </si>
  <si>
    <t>1x Operation</t>
  </si>
  <si>
    <t>Completion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</si>
</sst>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9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0" xfId="0" applyFont="1"/>
    <xf numFmtId="17" fontId="1" fillId="0" borderId="2" xfId="0" applyNumberFormat="1" applyFon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7" fontId="1" fillId="0" borderId="2" xfId="0" applyNumberFormat="1" applyFont="1" applyBorder="1" applyAlignment="1">
      <alignment horizontal="right" vertical="center"/>
    </xf>
    <xf numFmtId="0" fontId="0" fillId="0" borderId="3" xfId="0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right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5" borderId="2" xfId="0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5" fillId="3" borderId="2" xfId="0" applyFont="1" applyFill="1" applyBorder="1"/>
    <xf numFmtId="0" fontId="5" fillId="4" borderId="2" xfId="0" applyFont="1" applyFill="1" applyBorder="1"/>
    <xf numFmtId="0" fontId="5" fillId="2" borderId="2" xfId="0" applyFont="1" applyFill="1" applyBorder="1"/>
    <xf numFmtId="0" fontId="0" fillId="2" borderId="0" xfId="0" applyFill="1"/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vertical="center" wrapText="1"/>
    </xf>
    <xf numFmtId="17" fontId="1" fillId="8" borderId="2" xfId="0" applyNumberFormat="1" applyFont="1" applyFill="1" applyBorder="1"/>
    <xf numFmtId="0" fontId="6" fillId="0" borderId="0" xfId="0" applyFont="1"/>
    <xf numFmtId="0" fontId="0" fillId="0" borderId="5" xfId="0" applyBorder="1"/>
    <xf numFmtId="0" fontId="0" fillId="0" borderId="5" xfId="0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0" fillId="2" borderId="2" xfId="0" applyFill="1" applyBorder="1"/>
    <xf numFmtId="0" fontId="4" fillId="9" borderId="2" xfId="0" applyFont="1" applyFill="1" applyBorder="1" applyAlignment="1">
      <alignment vertical="center" wrapText="1"/>
    </xf>
    <xf numFmtId="0" fontId="0" fillId="10" borderId="0" xfId="0" applyFill="1"/>
    <xf numFmtId="0" fontId="0" fillId="0" borderId="2" xfId="1" applyNumberFormat="1" applyFont="1" applyBorder="1" applyAlignment="1">
      <alignment horizontal="center"/>
    </xf>
    <xf numFmtId="0" fontId="5" fillId="10" borderId="0" xfId="0" applyFont="1" applyFill="1"/>
    <xf numFmtId="0" fontId="4" fillId="9" borderId="4" xfId="0" applyFont="1" applyFill="1" applyBorder="1" applyAlignment="1">
      <alignment vertical="center" wrapText="1"/>
    </xf>
    <xf numFmtId="0" fontId="0" fillId="0" borderId="4" xfId="1" applyNumberFormat="1" applyFont="1" applyBorder="1" applyAlignment="1">
      <alignment horizontal="center"/>
    </xf>
    <xf numFmtId="0" fontId="8" fillId="0" borderId="5" xfId="0" applyFont="1" applyBorder="1" applyAlignment="1">
      <alignment vertical="center" wrapText="1"/>
    </xf>
    <xf numFmtId="0" fontId="3" fillId="0" borderId="5" xfId="0" applyFont="1" applyBorder="1"/>
    <xf numFmtId="0" fontId="0" fillId="11" borderId="2" xfId="0" applyFill="1" applyBorder="1"/>
    <xf numFmtId="0" fontId="0" fillId="4" borderId="2" xfId="0" applyFill="1" applyBorder="1"/>
    <xf numFmtId="17" fontId="1" fillId="12" borderId="2" xfId="0" applyNumberFormat="1" applyFont="1" applyFill="1" applyBorder="1"/>
    <xf numFmtId="9" fontId="0" fillId="0" borderId="2" xfId="1" applyFont="1" applyBorder="1" applyAlignment="1">
      <alignment horizontal="center"/>
    </xf>
    <xf numFmtId="9" fontId="0" fillId="5" borderId="2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Loc_3</a:t>
            </a:r>
            <a:r>
              <a:rPr lang="en-US" sz="1600" baseline="0"/>
              <a:t> To</a:t>
            </a:r>
            <a:r>
              <a:rPr lang="en-US" sz="1600"/>
              <a:t> be re-assessed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'Location 3'!$B$1:$B$2</c:f>
              <c:strCache>
                <c:ptCount val="2"/>
                <c:pt idx="0">
                  <c:v>LOCATION 3 MCI Reassessment uptake</c:v>
                </c:pt>
                <c:pt idx="1">
                  <c:v>No. of people to be re-assessed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dbl">
                <a:solidFill>
                  <a:schemeClr val="accent1">
                    <a:alpha val="87000"/>
                  </a:schemeClr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'Location 3'!$A$3:$A$32</c15:sqref>
                  </c15:fullRef>
                </c:ext>
              </c:extLst>
              <c:f>'Location 3'!$A$3:$A$31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3'!$B$3:$B$32</c15:sqref>
                  </c15:fullRef>
                </c:ext>
              </c:extLst>
              <c:f>'Location 3'!$B$3:$B$31</c:f>
              <c:numCache>
                <c:formatCode>General</c:formatCode>
                <c:ptCount val="29"/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13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2</c:v>
                </c:pt>
                <c:pt idx="21">
                  <c:v>7</c:v>
                </c:pt>
                <c:pt idx="22">
                  <c:v>4</c:v>
                </c:pt>
                <c:pt idx="23">
                  <c:v>0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2-4390-B6D2-72B9162E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73584"/>
        <c:axId val="1448274544"/>
      </c:lineChart>
      <c:dateAx>
        <c:axId val="1448273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74544"/>
        <c:crosses val="autoZero"/>
        <c:auto val="1"/>
        <c:lblOffset val="100"/>
        <c:baseTimeUnit val="months"/>
      </c:dateAx>
      <c:valAx>
        <c:axId val="14482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Loc_2</a:t>
            </a:r>
            <a:r>
              <a:rPr lang="en-US" sz="1600" baseline="0"/>
              <a:t> T</a:t>
            </a:r>
            <a:r>
              <a:rPr lang="en-US" sz="1600"/>
              <a:t>o</a:t>
            </a:r>
            <a:r>
              <a:rPr lang="en-US" sz="1600" baseline="0"/>
              <a:t> </a:t>
            </a:r>
            <a:r>
              <a:rPr lang="en-US" sz="1600"/>
              <a:t>be re-assessed</a:t>
            </a:r>
          </a:p>
        </c:rich>
      </c:tx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'Location 2'!$B$1:$B$2</c:f>
              <c:strCache>
                <c:ptCount val="2"/>
                <c:pt idx="0">
                  <c:v>LOCATION 2 MCI Reassessment uptake</c:v>
                </c:pt>
                <c:pt idx="1">
                  <c:v>No. of people to be re-assessed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dbl">
                <a:solidFill>
                  <a:schemeClr val="accent1">
                    <a:lumMod val="75000"/>
                    <a:alpha val="92000"/>
                  </a:schemeClr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'Location 2'!$A$3:$A$32</c15:sqref>
                  </c15:fullRef>
                </c:ext>
              </c:extLst>
              <c:f>'Location 2'!$A$3:$A$31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2'!$B$3:$B$32</c15:sqref>
                  </c15:fullRef>
                </c:ext>
              </c:extLst>
              <c:f>'Location 2'!$B$3:$B$31</c:f>
              <c:numCache>
                <c:formatCode>General</c:formatCode>
                <c:ptCount val="29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0</c:v>
                </c:pt>
                <c:pt idx="16">
                  <c:v>5</c:v>
                </c:pt>
                <c:pt idx="17">
                  <c:v>8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2-4C16-B7BF-7A4B5D4CE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73584"/>
        <c:axId val="1448274544"/>
      </c:lineChart>
      <c:dateAx>
        <c:axId val="1448273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74544"/>
        <c:crosses val="autoZero"/>
        <c:auto val="1"/>
        <c:lblOffset val="100"/>
        <c:baseTimeUnit val="months"/>
      </c:dateAx>
      <c:valAx>
        <c:axId val="14482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Loc_1</a:t>
            </a:r>
            <a:r>
              <a:rPr lang="en-GB" sz="1600" baseline="0"/>
              <a:t> T</a:t>
            </a:r>
            <a:r>
              <a:rPr lang="en-GB" sz="1600"/>
              <a:t>o be re-assessed</a:t>
            </a:r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'Location 1'!$B$2</c:f>
              <c:strCache>
                <c:ptCount val="1"/>
                <c:pt idx="0">
                  <c:v>No. of people to be re-assessed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40000"/>
                    <a:lumOff val="60000"/>
                    <a:alpha val="89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'Location 1'!$A$3:$A$32</c15:sqref>
                  </c15:fullRef>
                </c:ext>
              </c:extLst>
              <c:f>'Location 1'!$A$3:$A$31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1'!$B$3:$B$32</c15:sqref>
                  </c15:fullRef>
                </c:ext>
              </c:extLst>
              <c:f>'Location 1'!$B$3:$B$31</c:f>
              <c:numCache>
                <c:formatCode>General</c:formatCode>
                <c:ptCount val="2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0</c:v>
                </c:pt>
                <c:pt idx="18">
                  <c:v>7</c:v>
                </c:pt>
                <c:pt idx="19">
                  <c:v>1</c:v>
                </c:pt>
                <c:pt idx="20">
                  <c:v>5</c:v>
                </c:pt>
                <c:pt idx="21">
                  <c:v>3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9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A-40FB-8570-D76C52AA9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532800"/>
        <c:axId val="1365533280"/>
      </c:lineChart>
      <c:dateAx>
        <c:axId val="1365532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33280"/>
        <c:crosses val="autoZero"/>
        <c:auto val="1"/>
        <c:lblOffset val="100"/>
        <c:baseTimeUnit val="months"/>
      </c:dateAx>
      <c:valAx>
        <c:axId val="13655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3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Loc_1</a:t>
            </a:r>
            <a:r>
              <a:rPr lang="en-GB" sz="1600" baseline="0"/>
              <a:t> outcomes breakdown</a:t>
            </a:r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accepted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Summary!$C$3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A-497A-8822-E2B4674081EC}"/>
            </c:ext>
          </c:extLst>
        </c:ser>
        <c:ser>
          <c:idx val="1"/>
          <c:order val="1"/>
          <c:tx>
            <c:v>no contact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Summary!$D$3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A-497A-8822-E2B4674081EC}"/>
            </c:ext>
          </c:extLst>
        </c:ser>
        <c:ser>
          <c:idx val="2"/>
          <c:order val="2"/>
          <c:tx>
            <c:v>already assessed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Summary!$E$3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A-497A-8822-E2B4674081EC}"/>
            </c:ext>
          </c:extLst>
        </c:ser>
        <c:ser>
          <c:idx val="3"/>
          <c:order val="3"/>
          <c:tx>
            <c:v>declined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Summary!$F$3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A-497A-8822-E2B4674081EC}"/>
            </c:ext>
          </c:extLst>
        </c:ser>
        <c:ser>
          <c:idx val="4"/>
          <c:order val="4"/>
          <c:tx>
            <c:v>unsuitable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Summary!$G$3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0A-497A-8822-E2B4674081EC}"/>
            </c:ext>
          </c:extLst>
        </c:ser>
        <c:ser>
          <c:idx val="5"/>
          <c:order val="5"/>
          <c:tx>
            <c:v>postponed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Summary!$B$3</c:f>
              <c:numCache>
                <c:formatCode>General</c:formatCode>
                <c:ptCount val="1"/>
                <c:pt idx="0">
                  <c:v>96</c:v>
                </c:pt>
              </c:numCache>
            </c:numRef>
          </c:cat>
          <c:val>
            <c:numRef>
              <c:f>Summary!$H$3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0A-497A-8822-E2B46740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7006672"/>
        <c:axId val="1057008112"/>
      </c:barChart>
      <c:catAx>
        <c:axId val="105700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08112"/>
        <c:crosses val="autoZero"/>
        <c:auto val="1"/>
        <c:lblAlgn val="ctr"/>
        <c:lblOffset val="100"/>
        <c:noMultiLvlLbl val="0"/>
      </c:catAx>
      <c:valAx>
        <c:axId val="10570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0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Loc_2 outcomes breakdown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accepted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Summary!$C$4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D-4407-A608-DA62FD1EE15D}"/>
            </c:ext>
          </c:extLst>
        </c:ser>
        <c:ser>
          <c:idx val="1"/>
          <c:order val="1"/>
          <c:tx>
            <c:v>no contact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Summary!$D$4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D-4407-A608-DA62FD1EE15D}"/>
            </c:ext>
          </c:extLst>
        </c:ser>
        <c:ser>
          <c:idx val="2"/>
          <c:order val="2"/>
          <c:tx>
            <c:v>already assessed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Summary!$E$4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D-4407-A608-DA62FD1EE15D}"/>
            </c:ext>
          </c:extLst>
        </c:ser>
        <c:ser>
          <c:idx val="3"/>
          <c:order val="3"/>
          <c:tx>
            <c:v>declined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Summary!$F$4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D-4407-A608-DA62FD1EE15D}"/>
            </c:ext>
          </c:extLst>
        </c:ser>
        <c:ser>
          <c:idx val="4"/>
          <c:order val="4"/>
          <c:tx>
            <c:v>unsuitable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Summary!$G$4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D-4407-A608-DA62FD1EE15D}"/>
            </c:ext>
          </c:extLst>
        </c:ser>
        <c:ser>
          <c:idx val="5"/>
          <c:order val="5"/>
          <c:tx>
            <c:v>postponed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Summary!$B$4</c:f>
              <c:numCache>
                <c:formatCode>General</c:formatCode>
                <c:ptCount val="1"/>
                <c:pt idx="0">
                  <c:v>97</c:v>
                </c:pt>
              </c:numCache>
            </c:numRef>
          </c:cat>
          <c:val>
            <c:numRef>
              <c:f>Summary!$H$4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ED-4407-A608-DA62FD1E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9408288"/>
        <c:axId val="1309408768"/>
      </c:barChart>
      <c:catAx>
        <c:axId val="130940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08768"/>
        <c:crosses val="autoZero"/>
        <c:auto val="1"/>
        <c:lblAlgn val="ctr"/>
        <c:lblOffset val="100"/>
        <c:noMultiLvlLbl val="0"/>
      </c:catAx>
      <c:valAx>
        <c:axId val="130940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0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Loc_3 outcomes breakdown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accepted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Summary!$C$5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B-4819-A927-559A328BAB44}"/>
            </c:ext>
          </c:extLst>
        </c:ser>
        <c:ser>
          <c:idx val="1"/>
          <c:order val="1"/>
          <c:tx>
            <c:v>no contact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Summary!$D$5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B-4819-A927-559A328BAB44}"/>
            </c:ext>
          </c:extLst>
        </c:ser>
        <c:ser>
          <c:idx val="2"/>
          <c:order val="2"/>
          <c:tx>
            <c:v>already assessed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Summary!$E$5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B-4819-A927-559A328BAB44}"/>
            </c:ext>
          </c:extLst>
        </c:ser>
        <c:ser>
          <c:idx val="3"/>
          <c:order val="3"/>
          <c:tx>
            <c:v>declined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Summary!$F$5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1B-4819-A927-559A328BAB44}"/>
            </c:ext>
          </c:extLst>
        </c:ser>
        <c:ser>
          <c:idx val="4"/>
          <c:order val="4"/>
          <c:tx>
            <c:v>unsuitable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Summary!$G$5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1B-4819-A927-559A328BAB44}"/>
            </c:ext>
          </c:extLst>
        </c:ser>
        <c:ser>
          <c:idx val="5"/>
          <c:order val="5"/>
          <c:tx>
            <c:v>postponed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Summary!$B$5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cat>
          <c:val>
            <c:numRef>
              <c:f>Summary!$H$5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1B-4819-A927-559A328BA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1936080"/>
        <c:axId val="1381934160"/>
      </c:barChart>
      <c:catAx>
        <c:axId val="138193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34160"/>
        <c:crosses val="autoZero"/>
        <c:auto val="1"/>
        <c:lblAlgn val="ctr"/>
        <c:lblOffset val="100"/>
        <c:noMultiLvlLbl val="0"/>
      </c:catAx>
      <c:valAx>
        <c:axId val="138193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Loc_1</a:t>
            </a:r>
            <a:r>
              <a:rPr lang="en-GB" sz="1600" baseline="0"/>
              <a:t> Completion over time</a:t>
            </a:r>
            <a:endParaRPr lang="en-GB" sz="1600"/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 be assessed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1'!$A$3:$A$32</c15:sqref>
                  </c15:fullRef>
                </c:ext>
              </c:extLst>
              <c:f>'Location 1'!$A$3:$A$31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1'!$B$3:$B$32</c15:sqref>
                  </c15:fullRef>
                </c:ext>
              </c:extLst>
              <c:f>'Location 1'!$B$3:$B$31</c:f>
              <c:numCache>
                <c:formatCode>General</c:formatCode>
                <c:ptCount val="2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0</c:v>
                </c:pt>
                <c:pt idx="18">
                  <c:v>7</c:v>
                </c:pt>
                <c:pt idx="19">
                  <c:v>1</c:v>
                </c:pt>
                <c:pt idx="20">
                  <c:v>5</c:v>
                </c:pt>
                <c:pt idx="21">
                  <c:v>3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9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5-4792-B078-6A75912F1C40}"/>
            </c:ext>
          </c:extLst>
        </c:ser>
        <c:ser>
          <c:idx val="1"/>
          <c:order val="1"/>
          <c:tx>
            <c:v>accepted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1'!$A$3:$A$32</c15:sqref>
                  </c15:fullRef>
                </c:ext>
              </c:extLst>
              <c:f>'Location 1'!$A$3:$A$31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1'!$C$3:$C$32</c15:sqref>
                  </c15:fullRef>
                </c:ext>
              </c:extLst>
              <c:f>'Location 1'!$C$3:$C$31</c:f>
              <c:numCache>
                <c:formatCode>General</c:formatCode>
                <c:ptCount val="2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5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5-4792-B078-6A75912F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176560"/>
        <c:axId val="1303173200"/>
      </c:lineChart>
      <c:dateAx>
        <c:axId val="13031765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173200"/>
        <c:crosses val="autoZero"/>
        <c:auto val="1"/>
        <c:lblOffset val="100"/>
        <c:baseTimeUnit val="months"/>
      </c:dateAx>
      <c:valAx>
        <c:axId val="13031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17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Loc_2</a:t>
            </a:r>
            <a:r>
              <a:rPr lang="en-GB" sz="1600" baseline="0"/>
              <a:t> Completion over time</a:t>
            </a:r>
            <a:endParaRPr lang="en-GB" sz="1600"/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 be assessed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2'!$A$3:$A$32</c15:sqref>
                  </c15:fullRef>
                </c:ext>
              </c:extLst>
              <c:f>'Location 2'!$A$3:$A$31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2'!$B$3:$B$32</c15:sqref>
                  </c15:fullRef>
                </c:ext>
              </c:extLst>
              <c:f>'Location 2'!$B$3:$B$31</c:f>
              <c:numCache>
                <c:formatCode>General</c:formatCode>
                <c:ptCount val="29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0</c:v>
                </c:pt>
                <c:pt idx="16">
                  <c:v>5</c:v>
                </c:pt>
                <c:pt idx="17">
                  <c:v>8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9-42C3-9B60-25F69C2D6D5F}"/>
            </c:ext>
          </c:extLst>
        </c:ser>
        <c:ser>
          <c:idx val="1"/>
          <c:order val="1"/>
          <c:tx>
            <c:v>accepted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2'!$A$3:$A$32</c15:sqref>
                  </c15:fullRef>
                </c:ext>
              </c:extLst>
              <c:f>'Location 2'!$A$3:$A$31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2'!$C$3:$C$32</c15:sqref>
                  </c15:fullRef>
                </c:ext>
              </c:extLst>
              <c:f>'Location 2'!$C$3:$C$31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9-42C3-9B60-25F69C2D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885616"/>
        <c:axId val="1295883696"/>
      </c:lineChart>
      <c:dateAx>
        <c:axId val="12958856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883696"/>
        <c:crosses val="autoZero"/>
        <c:auto val="1"/>
        <c:lblOffset val="100"/>
        <c:baseTimeUnit val="months"/>
      </c:dateAx>
      <c:valAx>
        <c:axId val="12958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88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Loc_3 Completion over time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 be assessed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3'!$A$3:$A$32</c15:sqref>
                  </c15:fullRef>
                </c:ext>
              </c:extLst>
              <c:f>'Location 3'!$A$3:$A$31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3'!$B$3:$B$32</c15:sqref>
                  </c15:fullRef>
                </c:ext>
              </c:extLst>
              <c:f>'Location 3'!$B$3:$B$31</c:f>
              <c:numCache>
                <c:formatCode>General</c:formatCode>
                <c:ptCount val="29"/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13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2</c:v>
                </c:pt>
                <c:pt idx="21">
                  <c:v>7</c:v>
                </c:pt>
                <c:pt idx="22">
                  <c:v>4</c:v>
                </c:pt>
                <c:pt idx="23">
                  <c:v>0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5-4ECB-9592-DE12583CC8CB}"/>
            </c:ext>
          </c:extLst>
        </c:ser>
        <c:ser>
          <c:idx val="1"/>
          <c:order val="1"/>
          <c:tx>
            <c:v>accepted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'Location 3'!$A$3:$A$32</c15:sqref>
                  </c15:fullRef>
                </c:ext>
              </c:extLst>
              <c:f>'Location 3'!$A$3:$A$31</c:f>
              <c:strCache>
                <c:ptCount val="29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Oct-24</c:v>
                </c:pt>
                <c:pt idx="23">
                  <c:v>Nov-24</c:v>
                </c:pt>
                <c:pt idx="24">
                  <c:v>Dec-24</c:v>
                </c:pt>
                <c:pt idx="25">
                  <c:v>Jan-25</c:v>
                </c:pt>
                <c:pt idx="26">
                  <c:v>Feb-25</c:v>
                </c:pt>
                <c:pt idx="27">
                  <c:v>Mar-25</c:v>
                </c:pt>
                <c:pt idx="28">
                  <c:v>Apr-25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'Location 3'!$C$3:$C$32</c15:sqref>
                  </c15:fullRef>
                </c:ext>
              </c:extLst>
              <c:f>'Location 3'!$C$3:$C$31</c:f>
              <c:numCache>
                <c:formatCode>General</c:formatCode>
                <c:ptCount val="29"/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10</c:v>
                </c:pt>
                <c:pt idx="16">
                  <c:v>0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A5-4ECB-9592-DE12583C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369408"/>
        <c:axId val="1380368928"/>
      </c:lineChart>
      <c:dateAx>
        <c:axId val="1380369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368928"/>
        <c:crosses val="autoZero"/>
        <c:auto val="1"/>
        <c:lblOffset val="100"/>
        <c:baseTimeUnit val="months"/>
      </c:dateAx>
      <c:valAx>
        <c:axId val="13803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3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155</xdr:row>
      <xdr:rowOff>13856</xdr:rowOff>
    </xdr:from>
    <xdr:to>
      <xdr:col>7</xdr:col>
      <xdr:colOff>665018</xdr:colOff>
      <xdr:row>172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4DCBB-0DF7-4B09-8DA4-F90B8281A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136</xdr:row>
      <xdr:rowOff>41912</xdr:rowOff>
    </xdr:from>
    <xdr:to>
      <xdr:col>7</xdr:col>
      <xdr:colOff>665018</xdr:colOff>
      <xdr:row>154</xdr:row>
      <xdr:rowOff>13854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5F4B9-BD6F-4848-8E87-E4DA3AF91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117</xdr:row>
      <xdr:rowOff>15241</xdr:rowOff>
    </xdr:from>
    <xdr:to>
      <xdr:col>7</xdr:col>
      <xdr:colOff>647700</xdr:colOff>
      <xdr:row>135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DDBC2-15A4-4FAE-BE5C-2B6254320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13062</xdr:colOff>
      <xdr:row>6</xdr:row>
      <xdr:rowOff>13064</xdr:rowOff>
    </xdr:from>
    <xdr:to>
      <xdr:col>8</xdr:col>
      <xdr:colOff>20106</xdr:colOff>
      <xdr:row>19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657094-1388-40CC-AB4E-9503F4EC7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10886</xdr:colOff>
      <xdr:row>19</xdr:row>
      <xdr:rowOff>176538</xdr:rowOff>
    </xdr:from>
    <xdr:to>
      <xdr:col>8</xdr:col>
      <xdr:colOff>21770</xdr:colOff>
      <xdr:row>33</xdr:row>
      <xdr:rowOff>21771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9FC7F6-A6D9-4795-8A7C-639A49BE3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10886</xdr:colOff>
      <xdr:row>33</xdr:row>
      <xdr:rowOff>180701</xdr:rowOff>
    </xdr:from>
    <xdr:to>
      <xdr:col>8</xdr:col>
      <xdr:colOff>21770</xdr:colOff>
      <xdr:row>47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9E73D1B-3F96-4C32-A541-3395A921E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52</xdr:row>
      <xdr:rowOff>10884</xdr:rowOff>
    </xdr:from>
    <xdr:to>
      <xdr:col>7</xdr:col>
      <xdr:colOff>742950</xdr:colOff>
      <xdr:row>71</xdr:row>
      <xdr:rowOff>-1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05EF85-2983-42AB-9C19-09C346A6B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72</xdr:row>
      <xdr:rowOff>17814</xdr:rowOff>
    </xdr:from>
    <xdr:to>
      <xdr:col>7</xdr:col>
      <xdr:colOff>779276</xdr:colOff>
      <xdr:row>91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FE647B0-56EF-472B-B20B-71FB77986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93</xdr:row>
      <xdr:rowOff>2077</xdr:rowOff>
    </xdr:from>
    <xdr:to>
      <xdr:col>7</xdr:col>
      <xdr:colOff>789709</xdr:colOff>
      <xdr:row>111</xdr:row>
      <xdr:rowOff>173293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751AD3-6FAA-4681-9A11-84809FA1E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eo Cacialli" id="{4ADA9304-0AFD-4FDC-9D5E-27203C3B82E7}" userId="S::cacimat@uwl.ac.uk::0ec4a1d6-d9e3-4387-ae4d-91fe58c9d7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3-07T19:19:00.12" personId="{4ADA9304-0AFD-4FDC-9D5E-27203C3B82E7}" id="{33FF5ECB-B57A-4B6D-AD41-5D458F804851}">
    <text>Note reported “Already recalled”. Unclear to which outcome it refers to (presumably to “already assessed”, but column empty). 
It might indicate data corruption. To investigate.</text>
  </threadedComment>
  <threadedComment ref="A10" dT="2026-03-09T11:12:30.94" personId="{4ADA9304-0AFD-4FDC-9D5E-27203C3B82E7}" id="{2755C7E3-EEC6-48EB-8A32-5A777A090836}">
    <text xml:space="preserve">Note reported “self-referred”, likely referring to “Already assessed”. Deemed unnecessary, removed. </text>
  </threadedComment>
  <threadedComment ref="A11" dT="2026-03-09T11:12:37.75" personId="{4ADA9304-0AFD-4FDC-9D5E-27203C3B82E7}" id="{5E7E3541-790E-4885-AB52-A692DF97EC62}">
    <text xml:space="preserve">Note reported “self-referred”, likely referring to “Already assessed”. Deemed unnecessary, removed. </text>
  </threadedComment>
  <threadedComment ref="A15" dT="2026-03-07T19:21:34.42" personId="{4ADA9304-0AFD-4FDC-9D5E-27203C3B82E7}" id="{BE7C4057-5797-453B-8767-479C11A8F73B}">
    <text xml:space="preserve">Unspecified note “Self-Referral in July 2023 as wife felt memory had worsened , however had a TIA, discharged from service in November 2023 as needs 6 months of physical health stability for reassessment”.  
To which outcome does this refer to? Data is corrupted, as “data integrity check” reports +1; this note refers to someone not recorded.  </text>
  </threadedComment>
  <threadedComment ref="A21" dT="2026-03-07T21:06:11.32" personId="{4ADA9304-0AFD-4FDC-9D5E-27203C3B82E7}" id="{5047E617-86EE-4999-877D-5879612757EE}">
    <text xml:space="preserve">Note reported “1 with complex team and likely to be referred for memory ax, 1 in hospital rehab ward  due to physical health, 1 no changes to memory also had a bad experience of Crystal Centre (waiting long times for feedback appointment, waiting room felt cold and uninviting, offered potential home visits still declined as no changes)”.
Individually addressed in section 4 of the report. </text>
  </threadedComment>
  <threadedComment ref="A28" dT="2026-03-07T21:02:23.89" personId="{4ADA9304-0AFD-4FDC-9D5E-27203C3B82E7}" id="{9D699279-F450-46C7-B27C-A2538A3407C8}">
    <text xml:space="preserve">Note reported “1x SU declined to know dx but consented too son knowing. Son wanted a re ax, in the end memory nurse contacted SU who decline recall”. 
Presumably refers to the n=1 under “Declined”.  </text>
  </threadedComment>
  <threadedComment ref="A30" dT="2026-03-07T19:24:25.49" personId="{4ADA9304-0AFD-4FDC-9D5E-27203C3B82E7}" id="{ED94D0EF-5F02-4E0B-9483-E066A7582838}">
    <text>Note reports “1x  Dementia”, but only 1 (instead of 2) under “Unsuitable”. Corrupted total? Wrong note?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6-03-07T20:52:29.73" personId="{4ADA9304-0AFD-4FDC-9D5E-27203C3B82E7}" id="{194D46B6-AFEB-40EE-8B6D-7DB86B5197BE}">
    <text xml:space="preserve">Note reported “Already recalled - MCI remains the same”. It should refer to the n=1 under “already assessed”. Deemed unnecessary, removed. </text>
  </threadedComment>
  <threadedComment ref="A28" dT="2026-03-07T20:54:14.88" personId="{4ADA9304-0AFD-4FDC-9D5E-27203C3B82E7}" id="{1D26730B-549D-4A7F-9DA2-6854E9590E45}">
    <text xml:space="preserve">Note reports “1x Deceased”, but no entry under “Unsuitable”. The absence of this entry explains the
+1 under “Data integrity check”
</text>
  </threadedComment>
  <threadedComment ref="A30" dT="2026-03-07T20:54:18.94" personId="{4ADA9304-0AFD-4FDC-9D5E-27203C3B82E7}" id="{F09981D1-D23A-40F4-9901-5611B8A12489}">
    <text xml:space="preserve">Note reports “1x Deceased”, but no entry under “Unsuitable”. The absence of this entry explains the
+1 under “Data integrity check”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8" dT="2026-03-07T20:57:11.49" personId="{4ADA9304-0AFD-4FDC-9D5E-27203C3B82E7}" id="{C6C3DED7-B215-4599-89C4-1D6E79ED9204}">
    <text xml:space="preserve">Note reported “1x out of area but accepted recall”. Not clear to which column this note refers to. 
If to “ACCEPTED”, then remove, unnecessary. If to one of the n=3 under “declined”, then wrong column, should be in “postponed”; if to “postponed”, then data is corrupted (= unexplained n.)
</text>
  </threadedComment>
  <threadedComment ref="A19" dT="2026-03-07T20:56:19.64" personId="{4ADA9304-0AFD-4FDC-9D5E-27203C3B82E7}" id="{0536F5A2-2390-4C90-B418-0471650E9FF0}">
    <text>Note reported “1x Declined”, but there is no entry under “Declined”. That explains +1 of the +2 under “Data integrity check”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87E2-F5AD-41EC-9F13-5726685CA7EA}">
  <sheetPr>
    <outlinePr summaryRight="0"/>
  </sheetPr>
  <dimension ref="A1:L32"/>
  <sheetViews>
    <sheetView zoomScale="70" zoomScaleNormal="70" workbookViewId="0">
      <selection activeCell="D4" sqref="D4"/>
    </sheetView>
  </sheetViews>
  <sheetFormatPr defaultRowHeight="14.4" outlineLevelCol="1" x14ac:dyDescent="0.3"/>
  <cols>
    <col min="1" max="1" width="13.44140625" customWidth="1"/>
    <col min="2" max="2" width="16.109375" customWidth="1"/>
    <col min="3" max="4" width="15.6640625" customWidth="1"/>
    <col min="5" max="5" width="13.6640625" customWidth="1"/>
    <col min="6" max="6" width="21.6640625" customWidth="1"/>
    <col min="7" max="7" width="12.77734375" customWidth="1"/>
    <col min="8" max="8" width="29.44140625" customWidth="1" collapsed="1"/>
    <col min="9" max="9" width="62.88671875" hidden="1" customWidth="1" outlineLevel="1"/>
    <col min="10" max="10" width="27.77734375" customWidth="1" collapsed="1"/>
    <col min="11" max="11" width="58.5546875" hidden="1" customWidth="1" outlineLevel="1"/>
    <col min="12" max="12" width="18.77734375" customWidth="1"/>
  </cols>
  <sheetData>
    <row r="1" spans="1:12" s="36" customFormat="1" ht="45.6" customHeight="1" x14ac:dyDescent="0.5">
      <c r="A1" s="35" t="s">
        <v>5</v>
      </c>
    </row>
    <row r="2" spans="1:12" s="3" customFormat="1" ht="74.400000000000006" customHeight="1" x14ac:dyDescent="0.3">
      <c r="A2" s="13" t="s">
        <v>0</v>
      </c>
      <c r="B2" s="37" t="s">
        <v>1</v>
      </c>
      <c r="C2" s="37" t="s">
        <v>3</v>
      </c>
      <c r="D2" s="37" t="s">
        <v>46</v>
      </c>
      <c r="E2" s="17" t="s">
        <v>2</v>
      </c>
      <c r="F2" s="17" t="s">
        <v>13</v>
      </c>
      <c r="G2" s="17" t="s">
        <v>11</v>
      </c>
      <c r="H2" s="17" t="s">
        <v>10</v>
      </c>
      <c r="I2" s="16" t="s">
        <v>9</v>
      </c>
      <c r="J2" s="17" t="s">
        <v>12</v>
      </c>
      <c r="K2" s="16" t="s">
        <v>8</v>
      </c>
      <c r="L2" s="39" t="s">
        <v>14</v>
      </c>
    </row>
    <row r="3" spans="1:12" x14ac:dyDescent="0.3">
      <c r="A3" s="4">
        <v>44896</v>
      </c>
      <c r="B3" s="10">
        <v>2</v>
      </c>
      <c r="C3" s="10">
        <v>1</v>
      </c>
      <c r="D3" s="58">
        <f>IF(B3=0, NA(), C3/B3)</f>
        <v>0.5</v>
      </c>
      <c r="E3" s="10"/>
      <c r="F3" s="10"/>
      <c r="G3" s="10"/>
      <c r="H3" s="10"/>
      <c r="I3" s="11"/>
      <c r="J3" s="10">
        <v>1</v>
      </c>
      <c r="K3" s="27" t="s">
        <v>45</v>
      </c>
      <c r="L3" s="7">
        <f t="shared" ref="L3:L31" si="0">B3-(C3+SUM(E3:J3))</f>
        <v>0</v>
      </c>
    </row>
    <row r="4" spans="1:12" x14ac:dyDescent="0.3">
      <c r="A4" s="4">
        <v>44927</v>
      </c>
      <c r="B4" s="10">
        <v>0</v>
      </c>
      <c r="C4" s="10">
        <v>0</v>
      </c>
      <c r="D4" s="58" t="e">
        <f t="shared" ref="D4:D31" si="1">IF(B4=0, NA(), C4/B4)</f>
        <v>#N/A</v>
      </c>
      <c r="E4" s="10"/>
      <c r="F4" s="10"/>
      <c r="G4" s="10"/>
      <c r="H4" s="10"/>
      <c r="I4" s="11"/>
      <c r="J4" s="10"/>
      <c r="K4" s="28"/>
      <c r="L4" s="7">
        <f t="shared" si="0"/>
        <v>0</v>
      </c>
    </row>
    <row r="5" spans="1:12" x14ac:dyDescent="0.3">
      <c r="A5" s="4">
        <v>44958</v>
      </c>
      <c r="B5" s="10">
        <v>1</v>
      </c>
      <c r="C5" s="10">
        <v>0</v>
      </c>
      <c r="D5" s="58">
        <f t="shared" si="1"/>
        <v>0</v>
      </c>
      <c r="E5" s="10"/>
      <c r="F5" s="10"/>
      <c r="G5" s="10"/>
      <c r="H5" s="10">
        <v>1</v>
      </c>
      <c r="I5" s="11" t="s">
        <v>15</v>
      </c>
      <c r="J5" s="10"/>
      <c r="K5" s="30"/>
      <c r="L5" s="7">
        <f t="shared" si="0"/>
        <v>0</v>
      </c>
    </row>
    <row r="6" spans="1:12" x14ac:dyDescent="0.3">
      <c r="A6" s="4">
        <v>44986</v>
      </c>
      <c r="B6" s="10">
        <v>2</v>
      </c>
      <c r="C6" s="10">
        <v>0</v>
      </c>
      <c r="D6" s="58">
        <f t="shared" si="1"/>
        <v>0</v>
      </c>
      <c r="E6" s="10">
        <v>1</v>
      </c>
      <c r="F6" s="10"/>
      <c r="G6" s="10">
        <v>1</v>
      </c>
      <c r="H6" s="10"/>
      <c r="I6" s="11"/>
      <c r="J6" s="10"/>
      <c r="K6" s="30"/>
      <c r="L6" s="7">
        <f t="shared" si="0"/>
        <v>0</v>
      </c>
    </row>
    <row r="7" spans="1:12" x14ac:dyDescent="0.3">
      <c r="A7" s="56">
        <v>45017</v>
      </c>
      <c r="B7" s="10">
        <v>3</v>
      </c>
      <c r="C7" s="10">
        <v>1</v>
      </c>
      <c r="D7" s="58">
        <f t="shared" si="1"/>
        <v>0.33333333333333331</v>
      </c>
      <c r="E7" s="10"/>
      <c r="F7" s="10"/>
      <c r="G7" s="10">
        <v>1</v>
      </c>
      <c r="H7" s="10">
        <v>1</v>
      </c>
      <c r="I7" s="5"/>
      <c r="J7" s="10"/>
      <c r="K7" s="27"/>
      <c r="L7" s="7">
        <f t="shared" si="0"/>
        <v>0</v>
      </c>
    </row>
    <row r="8" spans="1:12" x14ac:dyDescent="0.3">
      <c r="A8" s="4">
        <v>45047</v>
      </c>
      <c r="B8" s="10">
        <v>1</v>
      </c>
      <c r="C8" s="10">
        <v>1</v>
      </c>
      <c r="D8" s="58">
        <f t="shared" si="1"/>
        <v>1</v>
      </c>
      <c r="E8" s="10"/>
      <c r="F8" s="10"/>
      <c r="G8" s="10"/>
      <c r="H8" s="10"/>
      <c r="I8" s="11"/>
      <c r="J8" s="10"/>
      <c r="K8" s="30"/>
      <c r="L8" s="7">
        <f t="shared" si="0"/>
        <v>0</v>
      </c>
    </row>
    <row r="9" spans="1:12" x14ac:dyDescent="0.3">
      <c r="A9" s="4">
        <v>45078</v>
      </c>
      <c r="B9" s="12">
        <v>7</v>
      </c>
      <c r="C9" s="10">
        <v>2</v>
      </c>
      <c r="D9" s="58">
        <f t="shared" si="1"/>
        <v>0.2857142857142857</v>
      </c>
      <c r="E9" s="10"/>
      <c r="F9" s="10"/>
      <c r="G9" s="10"/>
      <c r="H9" s="10">
        <v>1</v>
      </c>
      <c r="I9" s="11" t="s">
        <v>15</v>
      </c>
      <c r="J9" s="10"/>
      <c r="K9" s="28"/>
      <c r="L9" s="7">
        <f t="shared" si="0"/>
        <v>4</v>
      </c>
    </row>
    <row r="10" spans="1:12" x14ac:dyDescent="0.3">
      <c r="A10" s="40">
        <v>45108</v>
      </c>
      <c r="B10" s="10">
        <v>1</v>
      </c>
      <c r="C10" s="10">
        <v>0</v>
      </c>
      <c r="D10" s="58">
        <f t="shared" si="1"/>
        <v>0</v>
      </c>
      <c r="E10" s="10"/>
      <c r="F10" s="10">
        <v>1</v>
      </c>
      <c r="G10" s="10"/>
      <c r="H10" s="10"/>
      <c r="I10" s="5"/>
      <c r="J10" s="10"/>
      <c r="K10" s="27"/>
      <c r="L10" s="7">
        <f t="shared" si="0"/>
        <v>0</v>
      </c>
    </row>
    <row r="11" spans="1:12" x14ac:dyDescent="0.3">
      <c r="A11" s="40">
        <v>45139</v>
      </c>
      <c r="B11" s="10">
        <v>4</v>
      </c>
      <c r="C11" s="10">
        <v>0</v>
      </c>
      <c r="D11" s="58">
        <f t="shared" si="1"/>
        <v>0</v>
      </c>
      <c r="E11" s="10"/>
      <c r="F11" s="10">
        <v>1</v>
      </c>
      <c r="G11" s="10"/>
      <c r="H11" s="10"/>
      <c r="I11" s="5"/>
      <c r="J11" s="10"/>
      <c r="K11" s="27"/>
      <c r="L11" s="7">
        <f t="shared" si="0"/>
        <v>3</v>
      </c>
    </row>
    <row r="12" spans="1:12" x14ac:dyDescent="0.3">
      <c r="A12" s="4">
        <v>45170</v>
      </c>
      <c r="B12" s="10">
        <v>1</v>
      </c>
      <c r="C12" s="10">
        <v>1</v>
      </c>
      <c r="D12" s="58">
        <f t="shared" si="1"/>
        <v>1</v>
      </c>
      <c r="E12" s="10"/>
      <c r="F12" s="10"/>
      <c r="G12" s="10"/>
      <c r="H12" s="10">
        <v>0</v>
      </c>
      <c r="I12" s="11"/>
      <c r="J12" s="10"/>
      <c r="K12" s="28"/>
      <c r="L12" s="7">
        <f t="shared" si="0"/>
        <v>0</v>
      </c>
    </row>
    <row r="13" spans="1:12" x14ac:dyDescent="0.3">
      <c r="A13" s="4">
        <v>45200</v>
      </c>
      <c r="B13" s="10">
        <v>2</v>
      </c>
      <c r="C13" s="10">
        <v>0</v>
      </c>
      <c r="D13" s="58">
        <f t="shared" si="1"/>
        <v>0</v>
      </c>
      <c r="E13" s="10">
        <v>0</v>
      </c>
      <c r="F13" s="11"/>
      <c r="G13" s="10">
        <v>2</v>
      </c>
      <c r="H13" s="10">
        <v>0</v>
      </c>
      <c r="I13" s="5"/>
      <c r="J13" s="10">
        <v>0</v>
      </c>
      <c r="K13" s="27"/>
      <c r="L13" s="7">
        <f t="shared" si="0"/>
        <v>0</v>
      </c>
    </row>
    <row r="14" spans="1:12" x14ac:dyDescent="0.3">
      <c r="A14" s="4">
        <v>45231</v>
      </c>
      <c r="B14" s="10">
        <v>1</v>
      </c>
      <c r="C14" s="10">
        <v>1</v>
      </c>
      <c r="D14" s="58">
        <f t="shared" si="1"/>
        <v>1</v>
      </c>
      <c r="E14" s="10"/>
      <c r="F14" s="11"/>
      <c r="G14" s="10"/>
      <c r="H14" s="10"/>
      <c r="I14" s="11"/>
      <c r="J14" s="10"/>
      <c r="K14" s="27"/>
      <c r="L14" s="7">
        <f t="shared" si="0"/>
        <v>0</v>
      </c>
    </row>
    <row r="15" spans="1:12" x14ac:dyDescent="0.3">
      <c r="A15" s="56">
        <v>45261</v>
      </c>
      <c r="B15" s="10">
        <v>1</v>
      </c>
      <c r="C15" s="10">
        <v>0</v>
      </c>
      <c r="D15" s="58">
        <f t="shared" si="1"/>
        <v>0</v>
      </c>
      <c r="E15" s="10"/>
      <c r="F15" s="11"/>
      <c r="G15" s="10"/>
      <c r="H15" s="10">
        <v>0</v>
      </c>
      <c r="I15" s="5"/>
      <c r="J15" s="10"/>
      <c r="K15" s="32"/>
      <c r="L15" s="7">
        <f t="shared" si="0"/>
        <v>1</v>
      </c>
    </row>
    <row r="16" spans="1:12" x14ac:dyDescent="0.3">
      <c r="A16" s="8">
        <v>45292</v>
      </c>
      <c r="B16" s="7">
        <v>3</v>
      </c>
      <c r="C16" s="7">
        <v>0</v>
      </c>
      <c r="D16" s="58">
        <f t="shared" si="1"/>
        <v>0</v>
      </c>
      <c r="E16" s="7">
        <v>0</v>
      </c>
      <c r="F16" s="7">
        <v>0</v>
      </c>
      <c r="G16" s="7">
        <v>1</v>
      </c>
      <c r="H16" s="7">
        <v>1</v>
      </c>
      <c r="I16" s="5" t="s">
        <v>32</v>
      </c>
      <c r="J16" s="7">
        <v>1</v>
      </c>
      <c r="K16" s="27" t="s">
        <v>30</v>
      </c>
      <c r="L16" s="7">
        <f t="shared" si="0"/>
        <v>0</v>
      </c>
    </row>
    <row r="17" spans="1:12" x14ac:dyDescent="0.3">
      <c r="A17" s="4">
        <v>45323</v>
      </c>
      <c r="B17" s="7">
        <v>2</v>
      </c>
      <c r="C17" s="7">
        <v>1</v>
      </c>
      <c r="D17" s="58">
        <f t="shared" si="1"/>
        <v>0.5</v>
      </c>
      <c r="E17" s="7">
        <v>0</v>
      </c>
      <c r="F17" s="7">
        <v>0</v>
      </c>
      <c r="G17" s="7">
        <v>0</v>
      </c>
      <c r="H17" s="7">
        <v>1</v>
      </c>
      <c r="I17" s="5" t="s">
        <v>15</v>
      </c>
      <c r="J17" s="7">
        <v>0</v>
      </c>
      <c r="K17" s="27"/>
      <c r="L17" s="7">
        <f t="shared" si="0"/>
        <v>0</v>
      </c>
    </row>
    <row r="18" spans="1:12" x14ac:dyDescent="0.3">
      <c r="A18" s="4">
        <v>45352</v>
      </c>
      <c r="B18" s="7">
        <v>7</v>
      </c>
      <c r="C18" s="7">
        <v>5</v>
      </c>
      <c r="D18" s="58">
        <f t="shared" si="1"/>
        <v>0.7142857142857143</v>
      </c>
      <c r="E18" s="7"/>
      <c r="F18" s="7">
        <v>1</v>
      </c>
      <c r="G18" s="7">
        <v>1</v>
      </c>
      <c r="H18" s="7"/>
      <c r="I18" s="5"/>
      <c r="J18" s="7"/>
      <c r="K18" s="27"/>
      <c r="L18" s="7">
        <f t="shared" si="0"/>
        <v>0</v>
      </c>
    </row>
    <row r="19" spans="1:12" x14ac:dyDescent="0.3">
      <c r="A19" s="4">
        <v>45383</v>
      </c>
      <c r="B19" s="7">
        <v>3</v>
      </c>
      <c r="C19" s="7">
        <v>2</v>
      </c>
      <c r="D19" s="58">
        <f t="shared" si="1"/>
        <v>0.66666666666666663</v>
      </c>
      <c r="E19" s="7"/>
      <c r="F19" s="7">
        <v>1</v>
      </c>
      <c r="G19" s="7"/>
      <c r="H19" s="7"/>
      <c r="I19" s="5"/>
      <c r="J19" s="7"/>
      <c r="K19" s="28"/>
      <c r="L19" s="7">
        <f t="shared" si="0"/>
        <v>0</v>
      </c>
    </row>
    <row r="20" spans="1:12" x14ac:dyDescent="0.3">
      <c r="A20" s="4">
        <v>45413</v>
      </c>
      <c r="B20" s="7">
        <v>0</v>
      </c>
      <c r="C20" s="7">
        <v>0</v>
      </c>
      <c r="D20" s="58" t="e">
        <f t="shared" si="1"/>
        <v>#N/A</v>
      </c>
      <c r="E20" s="7"/>
      <c r="F20" s="7"/>
      <c r="G20" s="7"/>
      <c r="H20" s="7"/>
      <c r="I20" s="5"/>
      <c r="J20" s="7"/>
      <c r="K20" s="32"/>
      <c r="L20" s="7">
        <f t="shared" si="0"/>
        <v>0</v>
      </c>
    </row>
    <row r="21" spans="1:12" x14ac:dyDescent="0.3">
      <c r="A21" s="4">
        <v>45444</v>
      </c>
      <c r="B21" s="7">
        <v>7</v>
      </c>
      <c r="C21" s="7">
        <v>2</v>
      </c>
      <c r="D21" s="58">
        <f t="shared" si="1"/>
        <v>0.2857142857142857</v>
      </c>
      <c r="E21" s="7"/>
      <c r="F21" s="7">
        <v>1</v>
      </c>
      <c r="G21" s="7">
        <v>2</v>
      </c>
      <c r="H21" s="7">
        <v>2</v>
      </c>
      <c r="I21" s="5"/>
      <c r="J21" s="7"/>
      <c r="K21" s="32"/>
      <c r="L21" s="7">
        <f t="shared" si="0"/>
        <v>0</v>
      </c>
    </row>
    <row r="22" spans="1:12" x14ac:dyDescent="0.3">
      <c r="A22" s="4">
        <v>45474</v>
      </c>
      <c r="B22" s="7">
        <v>1</v>
      </c>
      <c r="C22" s="7">
        <v>0</v>
      </c>
      <c r="D22" s="58">
        <f t="shared" si="1"/>
        <v>0</v>
      </c>
      <c r="E22" s="7"/>
      <c r="F22" s="7"/>
      <c r="G22" s="7"/>
      <c r="H22" s="7">
        <v>1</v>
      </c>
      <c r="I22" s="5" t="s">
        <v>31</v>
      </c>
      <c r="J22" s="7"/>
      <c r="K22" s="27"/>
      <c r="L22" s="7">
        <f t="shared" si="0"/>
        <v>0</v>
      </c>
    </row>
    <row r="23" spans="1:12" x14ac:dyDescent="0.3">
      <c r="A23" s="4">
        <v>45505</v>
      </c>
      <c r="B23" s="7">
        <v>5</v>
      </c>
      <c r="C23" s="7">
        <v>3</v>
      </c>
      <c r="D23" s="58">
        <f t="shared" si="1"/>
        <v>0.6</v>
      </c>
      <c r="E23" s="7"/>
      <c r="F23" s="7"/>
      <c r="G23" s="7">
        <v>1</v>
      </c>
      <c r="H23" s="7">
        <v>1</v>
      </c>
      <c r="I23" s="5" t="s">
        <v>15</v>
      </c>
      <c r="J23" s="7"/>
      <c r="K23" s="27"/>
      <c r="L23" s="7">
        <f t="shared" si="0"/>
        <v>0</v>
      </c>
    </row>
    <row r="24" spans="1:12" x14ac:dyDescent="0.3">
      <c r="A24" s="4">
        <v>45536</v>
      </c>
      <c r="B24" s="7">
        <v>3</v>
      </c>
      <c r="C24" s="7">
        <v>1</v>
      </c>
      <c r="D24" s="58">
        <f t="shared" si="1"/>
        <v>0.33333333333333331</v>
      </c>
      <c r="E24" s="7"/>
      <c r="F24" s="7"/>
      <c r="G24" s="7">
        <v>2</v>
      </c>
      <c r="H24" s="7"/>
      <c r="I24" s="5"/>
      <c r="J24" s="7"/>
      <c r="K24" s="27"/>
      <c r="L24" s="7">
        <f t="shared" si="0"/>
        <v>0</v>
      </c>
    </row>
    <row r="25" spans="1:12" x14ac:dyDescent="0.3">
      <c r="A25" s="4">
        <v>45566</v>
      </c>
      <c r="B25" s="7">
        <v>6</v>
      </c>
      <c r="C25" s="7">
        <v>3</v>
      </c>
      <c r="D25" s="58">
        <f t="shared" si="1"/>
        <v>0.5</v>
      </c>
      <c r="E25" s="7"/>
      <c r="F25" s="7"/>
      <c r="G25" s="7"/>
      <c r="H25" s="7">
        <v>3</v>
      </c>
      <c r="I25" s="5" t="s">
        <v>33</v>
      </c>
      <c r="J25" s="7"/>
      <c r="K25" s="27"/>
      <c r="L25" s="7">
        <f t="shared" si="0"/>
        <v>0</v>
      </c>
    </row>
    <row r="26" spans="1:12" x14ac:dyDescent="0.3">
      <c r="A26" s="4">
        <v>45597</v>
      </c>
      <c r="B26" s="7">
        <v>6</v>
      </c>
      <c r="C26" s="7">
        <v>5</v>
      </c>
      <c r="D26" s="58">
        <f t="shared" si="1"/>
        <v>0.83333333333333337</v>
      </c>
      <c r="E26" s="7"/>
      <c r="F26" s="7"/>
      <c r="G26" s="7"/>
      <c r="H26" s="7">
        <v>1</v>
      </c>
      <c r="I26" s="5" t="s">
        <v>21</v>
      </c>
      <c r="J26" s="7"/>
      <c r="K26" s="27"/>
      <c r="L26" s="7">
        <f t="shared" si="0"/>
        <v>0</v>
      </c>
    </row>
    <row r="27" spans="1:12" x14ac:dyDescent="0.3">
      <c r="A27" s="4">
        <v>45627</v>
      </c>
      <c r="B27" s="7">
        <v>2</v>
      </c>
      <c r="C27" s="7">
        <v>1</v>
      </c>
      <c r="D27" s="58">
        <f t="shared" si="1"/>
        <v>0.5</v>
      </c>
      <c r="E27" s="7">
        <v>1</v>
      </c>
      <c r="F27" s="7"/>
      <c r="G27" s="7"/>
      <c r="H27" s="7"/>
      <c r="I27" s="5"/>
      <c r="J27" s="7"/>
      <c r="K27" s="27"/>
      <c r="L27" s="7">
        <f t="shared" si="0"/>
        <v>0</v>
      </c>
    </row>
    <row r="28" spans="1:12" x14ac:dyDescent="0.3">
      <c r="A28" s="40">
        <v>45658</v>
      </c>
      <c r="B28" s="7">
        <v>7</v>
      </c>
      <c r="C28" s="7">
        <v>4</v>
      </c>
      <c r="D28" s="58">
        <f t="shared" si="1"/>
        <v>0.5714285714285714</v>
      </c>
      <c r="E28" s="7"/>
      <c r="F28" s="7">
        <v>1</v>
      </c>
      <c r="G28" s="7">
        <v>1</v>
      </c>
      <c r="H28" s="7">
        <v>1</v>
      </c>
      <c r="I28" s="5"/>
      <c r="J28" s="7"/>
      <c r="K28" s="27"/>
      <c r="L28" s="7">
        <f t="shared" si="0"/>
        <v>0</v>
      </c>
    </row>
    <row r="29" spans="1:12" x14ac:dyDescent="0.3">
      <c r="A29" s="4">
        <v>45689</v>
      </c>
      <c r="B29" s="7">
        <v>2</v>
      </c>
      <c r="C29" s="7">
        <v>1</v>
      </c>
      <c r="D29" s="58">
        <f t="shared" si="1"/>
        <v>0.5</v>
      </c>
      <c r="E29" s="7"/>
      <c r="F29" s="7"/>
      <c r="G29" s="7">
        <v>1</v>
      </c>
      <c r="H29" s="7"/>
      <c r="I29" s="5"/>
      <c r="J29" s="7"/>
      <c r="K29" s="27"/>
      <c r="L29" s="7">
        <f t="shared" si="0"/>
        <v>0</v>
      </c>
    </row>
    <row r="30" spans="1:12" x14ac:dyDescent="0.3">
      <c r="A30" s="56">
        <v>45717</v>
      </c>
      <c r="B30" s="7">
        <v>9</v>
      </c>
      <c r="C30" s="7">
        <v>3</v>
      </c>
      <c r="D30" s="58">
        <f t="shared" si="1"/>
        <v>0.33333333333333331</v>
      </c>
      <c r="E30" s="7">
        <v>1</v>
      </c>
      <c r="F30" s="7">
        <v>2</v>
      </c>
      <c r="G30" s="7">
        <v>2</v>
      </c>
      <c r="H30" s="7">
        <v>1</v>
      </c>
      <c r="I30" s="5" t="s">
        <v>34</v>
      </c>
      <c r="J30" s="7"/>
      <c r="K30" s="27"/>
      <c r="L30" s="7">
        <f t="shared" si="0"/>
        <v>0</v>
      </c>
    </row>
    <row r="31" spans="1:12" x14ac:dyDescent="0.3">
      <c r="A31" s="4">
        <v>45748</v>
      </c>
      <c r="B31" s="7">
        <v>7</v>
      </c>
      <c r="C31" s="7">
        <v>4</v>
      </c>
      <c r="D31" s="58">
        <f t="shared" si="1"/>
        <v>0.5714285714285714</v>
      </c>
      <c r="E31" s="7"/>
      <c r="F31" s="7">
        <v>1</v>
      </c>
      <c r="G31" s="7">
        <v>2</v>
      </c>
      <c r="H31" s="7"/>
      <c r="I31" s="5"/>
      <c r="J31" s="7"/>
      <c r="K31" s="27"/>
      <c r="L31" s="7">
        <f t="shared" si="0"/>
        <v>0</v>
      </c>
    </row>
    <row r="32" spans="1:12" x14ac:dyDescent="0.3">
      <c r="A32" s="38" t="s">
        <v>7</v>
      </c>
      <c r="B32" s="10">
        <f t="shared" ref="B32:H32" si="2">SUM(B3:B31)</f>
        <v>96</v>
      </c>
      <c r="C32" s="10">
        <f t="shared" si="2"/>
        <v>42</v>
      </c>
      <c r="D32" s="10"/>
      <c r="E32" s="10">
        <f t="shared" si="2"/>
        <v>3</v>
      </c>
      <c r="F32" s="10">
        <f t="shared" si="2"/>
        <v>9</v>
      </c>
      <c r="G32" s="10">
        <f t="shared" si="2"/>
        <v>17</v>
      </c>
      <c r="H32" s="10">
        <f t="shared" si="2"/>
        <v>15</v>
      </c>
      <c r="I32" s="29"/>
      <c r="J32" s="10">
        <f>SUM(J3:J31)</f>
        <v>2</v>
      </c>
      <c r="K32" s="29"/>
      <c r="L32" s="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2AF8-E3B0-41AB-A386-02E8B118FF17}">
  <sheetPr>
    <outlinePr summaryRight="0"/>
  </sheetPr>
  <dimension ref="A1:M32"/>
  <sheetViews>
    <sheetView zoomScale="70" zoomScaleNormal="70" workbookViewId="0">
      <selection activeCell="D4" sqref="D4"/>
    </sheetView>
  </sheetViews>
  <sheetFormatPr defaultRowHeight="14.4" outlineLevelCol="1" x14ac:dyDescent="0.3"/>
  <cols>
    <col min="1" max="1" width="13.44140625" customWidth="1"/>
    <col min="2" max="2" width="16.109375" customWidth="1"/>
    <col min="3" max="4" width="15.6640625" customWidth="1"/>
    <col min="5" max="5" width="13.6640625" customWidth="1"/>
    <col min="6" max="6" width="21.6640625" customWidth="1"/>
    <col min="7" max="7" width="12.77734375" customWidth="1"/>
    <col min="8" max="8" width="29.44140625" customWidth="1"/>
    <col min="9" max="9" width="65.44140625" customWidth="1" outlineLevel="1"/>
    <col min="10" max="10" width="27.77734375" customWidth="1" collapsed="1"/>
    <col min="11" max="11" width="58.5546875" hidden="1" customWidth="1" outlineLevel="1"/>
    <col min="12" max="12" width="18.77734375" customWidth="1"/>
  </cols>
  <sheetData>
    <row r="1" spans="1:13" s="1" customFormat="1" ht="45.6" customHeight="1" x14ac:dyDescent="0.5">
      <c r="A1" s="33" t="s">
        <v>4</v>
      </c>
    </row>
    <row r="2" spans="1:13" s="3" customFormat="1" ht="74.400000000000006" customHeight="1" x14ac:dyDescent="0.3">
      <c r="A2" s="13" t="s">
        <v>0</v>
      </c>
      <c r="B2" s="22" t="s">
        <v>1</v>
      </c>
      <c r="C2" s="22" t="s">
        <v>3</v>
      </c>
      <c r="D2" s="22" t="s">
        <v>46</v>
      </c>
      <c r="E2" s="17" t="s">
        <v>2</v>
      </c>
      <c r="F2" s="17" t="s">
        <v>13</v>
      </c>
      <c r="G2" s="17" t="s">
        <v>11</v>
      </c>
      <c r="H2" s="17" t="s">
        <v>10</v>
      </c>
      <c r="I2" s="16" t="s">
        <v>9</v>
      </c>
      <c r="J2" s="17" t="s">
        <v>12</v>
      </c>
      <c r="K2" s="16" t="s">
        <v>8</v>
      </c>
      <c r="L2" s="23" t="s">
        <v>14</v>
      </c>
    </row>
    <row r="3" spans="1:13" x14ac:dyDescent="0.3">
      <c r="A3" s="4">
        <v>44896</v>
      </c>
      <c r="B3" s="7">
        <v>0</v>
      </c>
      <c r="C3" s="7">
        <v>0</v>
      </c>
      <c r="D3" s="57" t="e">
        <f>IF(B3=0, NA(), C3/B3)</f>
        <v>#N/A</v>
      </c>
      <c r="E3" s="7">
        <v>0</v>
      </c>
      <c r="F3" s="7">
        <v>0</v>
      </c>
      <c r="G3" s="7">
        <v>0</v>
      </c>
      <c r="H3" s="7">
        <v>0</v>
      </c>
      <c r="I3" s="5"/>
      <c r="J3" s="7">
        <v>0</v>
      </c>
      <c r="K3" s="7"/>
      <c r="L3" s="7">
        <f t="shared" ref="L3:L31" si="0">B3-(C3+SUM(E3:J3))</f>
        <v>0</v>
      </c>
    </row>
    <row r="4" spans="1:13" x14ac:dyDescent="0.3">
      <c r="A4" s="4">
        <v>44927</v>
      </c>
      <c r="B4" s="7">
        <v>2</v>
      </c>
      <c r="C4" s="7">
        <v>0</v>
      </c>
      <c r="D4" s="57">
        <f t="shared" ref="D4:D31" si="1">IF(B4=0, NA(), C4/B4)</f>
        <v>0</v>
      </c>
      <c r="E4" s="7">
        <v>0</v>
      </c>
      <c r="F4" s="7">
        <v>0</v>
      </c>
      <c r="G4" s="7">
        <v>2</v>
      </c>
      <c r="H4" s="7">
        <v>0</v>
      </c>
      <c r="I4" s="5"/>
      <c r="J4" s="7">
        <v>0</v>
      </c>
      <c r="K4" s="14"/>
      <c r="L4" s="7">
        <f t="shared" si="0"/>
        <v>0</v>
      </c>
    </row>
    <row r="5" spans="1:13" x14ac:dyDescent="0.3">
      <c r="A5" s="4">
        <v>44958</v>
      </c>
      <c r="B5" s="7">
        <v>1</v>
      </c>
      <c r="C5" s="7">
        <v>0</v>
      </c>
      <c r="D5" s="57">
        <f t="shared" si="1"/>
        <v>0</v>
      </c>
      <c r="E5" s="7">
        <v>0</v>
      </c>
      <c r="F5" s="7">
        <v>0</v>
      </c>
      <c r="G5" s="7">
        <v>0</v>
      </c>
      <c r="H5" s="7">
        <v>1</v>
      </c>
      <c r="I5" s="5" t="s">
        <v>21</v>
      </c>
      <c r="J5" s="7">
        <v>0</v>
      </c>
      <c r="K5" s="24"/>
      <c r="L5" s="7">
        <f t="shared" si="0"/>
        <v>0</v>
      </c>
    </row>
    <row r="6" spans="1:13" x14ac:dyDescent="0.3">
      <c r="A6" s="4">
        <v>44986</v>
      </c>
      <c r="B6" s="7">
        <v>1</v>
      </c>
      <c r="C6" s="7">
        <v>1</v>
      </c>
      <c r="D6" s="57">
        <f t="shared" si="1"/>
        <v>1</v>
      </c>
      <c r="E6" s="7">
        <v>0</v>
      </c>
      <c r="F6" s="7">
        <v>0</v>
      </c>
      <c r="G6" s="7">
        <v>0</v>
      </c>
      <c r="H6" s="7">
        <v>0</v>
      </c>
      <c r="I6" s="5"/>
      <c r="J6" s="7">
        <v>0</v>
      </c>
      <c r="K6" s="24"/>
      <c r="L6" s="7">
        <f t="shared" si="0"/>
        <v>0</v>
      </c>
    </row>
    <row r="7" spans="1:13" x14ac:dyDescent="0.3">
      <c r="A7" s="4">
        <v>45017</v>
      </c>
      <c r="B7" s="7">
        <v>4</v>
      </c>
      <c r="C7" s="7">
        <v>2</v>
      </c>
      <c r="D7" s="57">
        <f t="shared" si="1"/>
        <v>0.5</v>
      </c>
      <c r="E7" s="7">
        <v>0</v>
      </c>
      <c r="F7" s="7">
        <v>0</v>
      </c>
      <c r="G7" s="7">
        <v>1</v>
      </c>
      <c r="H7" s="7">
        <v>0</v>
      </c>
      <c r="I7" s="5"/>
      <c r="J7" s="7">
        <v>1</v>
      </c>
      <c r="K7" s="27" t="s">
        <v>24</v>
      </c>
      <c r="L7" s="7">
        <f t="shared" si="0"/>
        <v>0</v>
      </c>
    </row>
    <row r="8" spans="1:13" x14ac:dyDescent="0.3">
      <c r="A8" s="4">
        <v>45047</v>
      </c>
      <c r="B8" s="7">
        <v>2</v>
      </c>
      <c r="C8" s="7">
        <v>1</v>
      </c>
      <c r="D8" s="57">
        <f t="shared" si="1"/>
        <v>0.5</v>
      </c>
      <c r="E8" s="7">
        <v>0</v>
      </c>
      <c r="F8" s="7">
        <v>0</v>
      </c>
      <c r="G8" s="7">
        <v>1</v>
      </c>
      <c r="H8" s="7">
        <v>0</v>
      </c>
      <c r="I8" s="5"/>
      <c r="J8" s="7">
        <v>0</v>
      </c>
      <c r="K8" s="30"/>
      <c r="L8" s="7">
        <f t="shared" si="0"/>
        <v>0</v>
      </c>
    </row>
    <row r="9" spans="1:13" x14ac:dyDescent="0.3">
      <c r="A9" s="4">
        <v>45078</v>
      </c>
      <c r="B9" s="7">
        <v>5</v>
      </c>
      <c r="C9" s="7">
        <v>2</v>
      </c>
      <c r="D9" s="57">
        <f t="shared" si="1"/>
        <v>0.4</v>
      </c>
      <c r="E9" s="7">
        <v>0</v>
      </c>
      <c r="F9" s="7">
        <v>0</v>
      </c>
      <c r="G9" s="7">
        <v>0</v>
      </c>
      <c r="H9" s="7">
        <v>1</v>
      </c>
      <c r="I9" s="5" t="s">
        <v>25</v>
      </c>
      <c r="J9" s="7">
        <v>2</v>
      </c>
      <c r="K9" s="28" t="s">
        <v>28</v>
      </c>
      <c r="L9" s="7">
        <f t="shared" si="0"/>
        <v>0</v>
      </c>
    </row>
    <row r="10" spans="1:13" x14ac:dyDescent="0.3">
      <c r="A10" s="4">
        <v>45108</v>
      </c>
      <c r="B10" s="7">
        <v>2</v>
      </c>
      <c r="C10" s="7">
        <v>2</v>
      </c>
      <c r="D10" s="57">
        <f t="shared" si="1"/>
        <v>1</v>
      </c>
      <c r="E10" s="7">
        <v>0</v>
      </c>
      <c r="F10" s="7">
        <v>0</v>
      </c>
      <c r="G10" s="7">
        <v>0</v>
      </c>
      <c r="H10" s="7">
        <v>0</v>
      </c>
      <c r="I10" s="5"/>
      <c r="J10" s="7">
        <v>0</v>
      </c>
      <c r="K10" s="7"/>
      <c r="L10" s="7">
        <f t="shared" si="0"/>
        <v>0</v>
      </c>
    </row>
    <row r="11" spans="1:13" x14ac:dyDescent="0.3">
      <c r="A11" s="40">
        <v>45139</v>
      </c>
      <c r="B11" s="7">
        <v>3</v>
      </c>
      <c r="C11" s="7">
        <v>1</v>
      </c>
      <c r="D11" s="57">
        <f t="shared" si="1"/>
        <v>0.33333333333333331</v>
      </c>
      <c r="E11" s="7">
        <v>0</v>
      </c>
      <c r="F11" s="7">
        <v>1</v>
      </c>
      <c r="G11" s="7">
        <v>0</v>
      </c>
      <c r="H11" s="7">
        <v>1</v>
      </c>
      <c r="I11" s="5" t="s">
        <v>15</v>
      </c>
      <c r="J11" s="7">
        <v>0</v>
      </c>
      <c r="K11" s="7"/>
      <c r="L11" s="7">
        <f t="shared" si="0"/>
        <v>0</v>
      </c>
      <c r="M11" s="41"/>
    </row>
    <row r="12" spans="1:13" x14ac:dyDescent="0.3">
      <c r="A12" s="4">
        <v>45170</v>
      </c>
      <c r="B12" s="7">
        <v>4</v>
      </c>
      <c r="C12" s="7">
        <v>2</v>
      </c>
      <c r="D12" s="57">
        <f t="shared" si="1"/>
        <v>0.5</v>
      </c>
      <c r="E12" s="7">
        <v>0</v>
      </c>
      <c r="F12" s="7">
        <v>0</v>
      </c>
      <c r="G12" s="7">
        <v>2</v>
      </c>
      <c r="H12" s="7">
        <v>0</v>
      </c>
      <c r="I12" s="5"/>
      <c r="J12" s="7">
        <v>0</v>
      </c>
      <c r="K12" s="14"/>
      <c r="L12" s="7">
        <f t="shared" si="0"/>
        <v>0</v>
      </c>
    </row>
    <row r="13" spans="1:13" x14ac:dyDescent="0.3">
      <c r="A13" s="4">
        <v>45200</v>
      </c>
      <c r="B13" s="7">
        <v>1</v>
      </c>
      <c r="C13" s="7">
        <v>1</v>
      </c>
      <c r="D13" s="57">
        <f t="shared" si="1"/>
        <v>1</v>
      </c>
      <c r="E13" s="7">
        <v>0</v>
      </c>
      <c r="F13" s="7">
        <v>0</v>
      </c>
      <c r="G13" s="7">
        <v>0</v>
      </c>
      <c r="H13" s="7">
        <v>0</v>
      </c>
      <c r="I13" s="5"/>
      <c r="J13" s="7">
        <v>0</v>
      </c>
      <c r="K13" s="7"/>
      <c r="L13" s="7">
        <f t="shared" si="0"/>
        <v>0</v>
      </c>
    </row>
    <row r="14" spans="1:13" x14ac:dyDescent="0.3">
      <c r="A14" s="4">
        <v>45231</v>
      </c>
      <c r="B14" s="7">
        <v>0</v>
      </c>
      <c r="C14" s="7">
        <v>0</v>
      </c>
      <c r="D14" s="57" t="e">
        <f t="shared" si="1"/>
        <v>#N/A</v>
      </c>
      <c r="E14" s="7">
        <v>0</v>
      </c>
      <c r="F14" s="7">
        <v>0</v>
      </c>
      <c r="G14" s="7">
        <v>0</v>
      </c>
      <c r="H14" s="7">
        <v>0</v>
      </c>
      <c r="I14" s="5"/>
      <c r="J14" s="7">
        <v>0</v>
      </c>
      <c r="K14" s="7"/>
      <c r="L14" s="7">
        <f t="shared" si="0"/>
        <v>0</v>
      </c>
    </row>
    <row r="15" spans="1:13" x14ac:dyDescent="0.3">
      <c r="A15" s="4">
        <v>45261</v>
      </c>
      <c r="B15" s="7">
        <v>3</v>
      </c>
      <c r="C15" s="7">
        <v>1</v>
      </c>
      <c r="D15" s="57">
        <f t="shared" si="1"/>
        <v>0.33333333333333331</v>
      </c>
      <c r="E15" s="7">
        <v>0</v>
      </c>
      <c r="F15" s="7">
        <v>0</v>
      </c>
      <c r="G15" s="7">
        <v>0</v>
      </c>
      <c r="H15" s="7">
        <v>2</v>
      </c>
      <c r="I15" s="5" t="s">
        <v>22</v>
      </c>
      <c r="J15" s="7">
        <v>0</v>
      </c>
      <c r="K15" s="25"/>
      <c r="L15" s="7">
        <f t="shared" si="0"/>
        <v>0</v>
      </c>
    </row>
    <row r="16" spans="1:13" x14ac:dyDescent="0.3">
      <c r="A16" s="8">
        <v>45292</v>
      </c>
      <c r="B16" s="20">
        <v>3</v>
      </c>
      <c r="C16" s="20">
        <v>1</v>
      </c>
      <c r="D16" s="57">
        <f t="shared" si="1"/>
        <v>0.33333333333333331</v>
      </c>
      <c r="E16" s="20">
        <v>0</v>
      </c>
      <c r="F16" s="20">
        <v>0</v>
      </c>
      <c r="G16" s="20">
        <v>1</v>
      </c>
      <c r="H16" s="20">
        <v>1</v>
      </c>
      <c r="I16" s="9" t="s">
        <v>23</v>
      </c>
      <c r="J16" s="20">
        <v>0</v>
      </c>
      <c r="K16" s="7"/>
      <c r="L16" s="7">
        <f t="shared" si="0"/>
        <v>0</v>
      </c>
    </row>
    <row r="17" spans="1:13" x14ac:dyDescent="0.3">
      <c r="A17" s="4">
        <v>45323</v>
      </c>
      <c r="B17" s="7">
        <v>5</v>
      </c>
      <c r="C17" s="7">
        <v>4</v>
      </c>
      <c r="D17" s="57">
        <f t="shared" si="1"/>
        <v>0.8</v>
      </c>
      <c r="E17" s="7">
        <v>0</v>
      </c>
      <c r="F17" s="7">
        <v>0</v>
      </c>
      <c r="G17" s="7">
        <v>1</v>
      </c>
      <c r="H17" s="7">
        <v>0</v>
      </c>
      <c r="I17" s="5"/>
      <c r="J17" s="7">
        <v>0</v>
      </c>
      <c r="K17" s="7"/>
      <c r="L17" s="7">
        <f t="shared" si="0"/>
        <v>0</v>
      </c>
    </row>
    <row r="18" spans="1:13" x14ac:dyDescent="0.3">
      <c r="A18" s="4">
        <v>45352</v>
      </c>
      <c r="B18" s="7">
        <v>0</v>
      </c>
      <c r="C18" s="7">
        <v>0</v>
      </c>
      <c r="D18" s="57" t="e">
        <f t="shared" si="1"/>
        <v>#N/A</v>
      </c>
      <c r="E18" s="7">
        <v>0</v>
      </c>
      <c r="F18" s="7">
        <v>0</v>
      </c>
      <c r="G18" s="7">
        <v>0</v>
      </c>
      <c r="H18" s="7">
        <v>0</v>
      </c>
      <c r="I18" s="5"/>
      <c r="J18" s="7">
        <v>0</v>
      </c>
      <c r="K18" s="7"/>
      <c r="L18" s="7">
        <f t="shared" si="0"/>
        <v>0</v>
      </c>
    </row>
    <row r="19" spans="1:13" x14ac:dyDescent="0.3">
      <c r="A19" s="4">
        <v>45383</v>
      </c>
      <c r="B19" s="7">
        <v>5</v>
      </c>
      <c r="C19" s="7">
        <v>2</v>
      </c>
      <c r="D19" s="57">
        <f t="shared" si="1"/>
        <v>0.4</v>
      </c>
      <c r="E19" s="7">
        <v>0</v>
      </c>
      <c r="F19" s="7">
        <v>0</v>
      </c>
      <c r="G19" s="7">
        <v>3</v>
      </c>
      <c r="H19" s="7">
        <v>0</v>
      </c>
      <c r="I19" s="5"/>
      <c r="J19" s="7">
        <v>0</v>
      </c>
      <c r="K19" s="14"/>
      <c r="L19" s="7">
        <f t="shared" si="0"/>
        <v>0</v>
      </c>
    </row>
    <row r="20" spans="1:13" x14ac:dyDescent="0.3">
      <c r="A20" s="4">
        <v>45413</v>
      </c>
      <c r="B20" s="7">
        <v>8</v>
      </c>
      <c r="C20" s="7">
        <v>4</v>
      </c>
      <c r="D20" s="57">
        <f t="shared" si="1"/>
        <v>0.5</v>
      </c>
      <c r="E20" s="7">
        <v>1</v>
      </c>
      <c r="F20" s="7">
        <v>0</v>
      </c>
      <c r="G20" s="7">
        <v>3</v>
      </c>
      <c r="H20" s="7">
        <v>0</v>
      </c>
      <c r="I20" s="5"/>
      <c r="J20" s="7">
        <v>0</v>
      </c>
      <c r="K20" s="25"/>
      <c r="L20" s="7">
        <f t="shared" si="0"/>
        <v>0</v>
      </c>
    </row>
    <row r="21" spans="1:13" x14ac:dyDescent="0.3">
      <c r="A21" s="4">
        <v>45444</v>
      </c>
      <c r="B21" s="7">
        <v>4</v>
      </c>
      <c r="C21" s="7">
        <v>3</v>
      </c>
      <c r="D21" s="57">
        <f t="shared" si="1"/>
        <v>0.75</v>
      </c>
      <c r="E21" s="7">
        <v>0</v>
      </c>
      <c r="F21" s="7">
        <v>0</v>
      </c>
      <c r="G21" s="7">
        <v>0</v>
      </c>
      <c r="H21" s="7">
        <v>1</v>
      </c>
      <c r="I21" s="5" t="s">
        <v>26</v>
      </c>
      <c r="J21" s="7">
        <v>0</v>
      </c>
      <c r="K21" s="25"/>
      <c r="L21" s="7">
        <f t="shared" si="0"/>
        <v>0</v>
      </c>
    </row>
    <row r="22" spans="1:13" x14ac:dyDescent="0.3">
      <c r="A22" s="4">
        <v>45474</v>
      </c>
      <c r="B22" s="7">
        <v>5</v>
      </c>
      <c r="C22" s="7">
        <v>3</v>
      </c>
      <c r="D22" s="57">
        <f t="shared" si="1"/>
        <v>0.6</v>
      </c>
      <c r="E22" s="7">
        <v>1</v>
      </c>
      <c r="F22" s="7">
        <v>0</v>
      </c>
      <c r="G22" s="7">
        <v>1</v>
      </c>
      <c r="H22" s="7">
        <v>0</v>
      </c>
      <c r="I22" s="5"/>
      <c r="J22" s="7">
        <v>0</v>
      </c>
      <c r="K22" s="7"/>
      <c r="L22" s="7">
        <f t="shared" si="0"/>
        <v>0</v>
      </c>
    </row>
    <row r="23" spans="1:13" x14ac:dyDescent="0.3">
      <c r="A23" s="4">
        <v>45505</v>
      </c>
      <c r="B23" s="7">
        <v>6</v>
      </c>
      <c r="C23" s="7">
        <v>3</v>
      </c>
      <c r="D23" s="57">
        <f t="shared" si="1"/>
        <v>0.5</v>
      </c>
      <c r="E23" s="7">
        <v>0</v>
      </c>
      <c r="F23" s="7">
        <v>0</v>
      </c>
      <c r="G23" s="7">
        <v>2</v>
      </c>
      <c r="H23" s="7">
        <v>1</v>
      </c>
      <c r="I23" s="5" t="s">
        <v>15</v>
      </c>
      <c r="J23" s="7">
        <v>0</v>
      </c>
      <c r="K23" s="7"/>
      <c r="L23" s="7">
        <f t="shared" si="0"/>
        <v>0</v>
      </c>
    </row>
    <row r="24" spans="1:13" x14ac:dyDescent="0.3">
      <c r="A24" s="4">
        <v>45536</v>
      </c>
      <c r="B24" s="7">
        <v>4</v>
      </c>
      <c r="C24" s="7">
        <v>1</v>
      </c>
      <c r="D24" s="57">
        <f t="shared" si="1"/>
        <v>0.25</v>
      </c>
      <c r="E24" s="7">
        <v>0</v>
      </c>
      <c r="F24" s="7">
        <v>0</v>
      </c>
      <c r="G24" s="7">
        <v>0</v>
      </c>
      <c r="H24" s="7">
        <v>3</v>
      </c>
      <c r="I24" s="5"/>
      <c r="J24" s="7">
        <v>0</v>
      </c>
      <c r="K24" s="7"/>
      <c r="L24" s="7">
        <f t="shared" si="0"/>
        <v>0</v>
      </c>
    </row>
    <row r="25" spans="1:13" x14ac:dyDescent="0.3">
      <c r="A25" s="4">
        <v>45566</v>
      </c>
      <c r="B25" s="7">
        <v>0</v>
      </c>
      <c r="C25" s="7">
        <v>0</v>
      </c>
      <c r="D25" s="57" t="e">
        <f t="shared" si="1"/>
        <v>#N/A</v>
      </c>
      <c r="E25" s="7">
        <v>0</v>
      </c>
      <c r="F25" s="7">
        <v>0</v>
      </c>
      <c r="G25" s="7">
        <v>0</v>
      </c>
      <c r="H25" s="7">
        <v>0</v>
      </c>
      <c r="I25" s="5"/>
      <c r="J25" s="7">
        <v>0</v>
      </c>
      <c r="K25" s="7"/>
      <c r="L25" s="7">
        <f t="shared" si="0"/>
        <v>0</v>
      </c>
    </row>
    <row r="26" spans="1:13" x14ac:dyDescent="0.3">
      <c r="A26" s="4">
        <v>45597</v>
      </c>
      <c r="B26" s="7">
        <v>5</v>
      </c>
      <c r="C26" s="7">
        <v>2</v>
      </c>
      <c r="D26" s="57">
        <f t="shared" si="1"/>
        <v>0.4</v>
      </c>
      <c r="E26" s="7">
        <v>0</v>
      </c>
      <c r="F26" s="7">
        <v>0</v>
      </c>
      <c r="G26" s="7">
        <v>1</v>
      </c>
      <c r="H26" s="7">
        <v>2</v>
      </c>
      <c r="I26" s="5"/>
      <c r="J26" s="7">
        <v>0</v>
      </c>
      <c r="K26" s="7"/>
      <c r="L26" s="7">
        <f t="shared" si="0"/>
        <v>0</v>
      </c>
    </row>
    <row r="27" spans="1:13" x14ac:dyDescent="0.3">
      <c r="A27" s="4">
        <v>45627</v>
      </c>
      <c r="B27" s="7">
        <v>5</v>
      </c>
      <c r="C27" s="7">
        <v>3</v>
      </c>
      <c r="D27" s="57">
        <f t="shared" si="1"/>
        <v>0.6</v>
      </c>
      <c r="E27" s="7">
        <v>2</v>
      </c>
      <c r="F27" s="7">
        <v>0</v>
      </c>
      <c r="G27" s="7">
        <v>0</v>
      </c>
      <c r="H27" s="7">
        <v>0</v>
      </c>
      <c r="I27" s="5"/>
      <c r="J27" s="7">
        <v>0</v>
      </c>
      <c r="K27" s="7"/>
      <c r="L27" s="7">
        <f t="shared" si="0"/>
        <v>0</v>
      </c>
    </row>
    <row r="28" spans="1:13" x14ac:dyDescent="0.3">
      <c r="A28" s="56">
        <v>45658</v>
      </c>
      <c r="B28" s="7">
        <v>6</v>
      </c>
      <c r="C28" s="7">
        <v>3</v>
      </c>
      <c r="D28" s="57">
        <f t="shared" si="1"/>
        <v>0.5</v>
      </c>
      <c r="E28" s="7">
        <v>0</v>
      </c>
      <c r="F28" s="7">
        <v>0</v>
      </c>
      <c r="G28" s="7">
        <v>2</v>
      </c>
      <c r="H28" s="7">
        <v>0</v>
      </c>
      <c r="I28" s="5" t="s">
        <v>15</v>
      </c>
      <c r="J28" s="7">
        <v>0</v>
      </c>
      <c r="K28" s="7"/>
      <c r="L28" s="26">
        <f t="shared" si="0"/>
        <v>1</v>
      </c>
      <c r="M28" s="42"/>
    </row>
    <row r="29" spans="1:13" x14ac:dyDescent="0.3">
      <c r="A29" s="4">
        <v>45689</v>
      </c>
      <c r="B29" s="7">
        <v>5</v>
      </c>
      <c r="C29" s="7">
        <v>1</v>
      </c>
      <c r="D29" s="57">
        <f t="shared" si="1"/>
        <v>0.2</v>
      </c>
      <c r="E29" s="7">
        <v>2</v>
      </c>
      <c r="F29" s="7"/>
      <c r="G29" s="7">
        <v>0</v>
      </c>
      <c r="H29" s="7">
        <v>1</v>
      </c>
      <c r="I29" s="5" t="s">
        <v>15</v>
      </c>
      <c r="J29" s="7">
        <v>1</v>
      </c>
      <c r="K29" s="27" t="s">
        <v>27</v>
      </c>
      <c r="L29" s="26">
        <f t="shared" si="0"/>
        <v>0</v>
      </c>
      <c r="M29" s="42"/>
    </row>
    <row r="30" spans="1:13" x14ac:dyDescent="0.3">
      <c r="A30" s="56">
        <v>45717</v>
      </c>
      <c r="B30" s="7">
        <v>3</v>
      </c>
      <c r="C30" s="7">
        <v>1</v>
      </c>
      <c r="D30" s="57">
        <f t="shared" si="1"/>
        <v>0.33333333333333331</v>
      </c>
      <c r="E30" s="7">
        <v>0</v>
      </c>
      <c r="F30" s="7">
        <v>1</v>
      </c>
      <c r="G30" s="7">
        <v>0</v>
      </c>
      <c r="H30" s="7">
        <v>0</v>
      </c>
      <c r="I30" s="5" t="s">
        <v>15</v>
      </c>
      <c r="J30" s="7">
        <v>0</v>
      </c>
      <c r="K30" s="7"/>
      <c r="L30" s="26">
        <f t="shared" si="0"/>
        <v>1</v>
      </c>
      <c r="M30" s="42"/>
    </row>
    <row r="31" spans="1:13" x14ac:dyDescent="0.3">
      <c r="A31" s="4">
        <v>45748</v>
      </c>
      <c r="B31" s="7">
        <v>5</v>
      </c>
      <c r="C31" s="7">
        <v>0</v>
      </c>
      <c r="D31" s="57">
        <f t="shared" si="1"/>
        <v>0</v>
      </c>
      <c r="E31" s="7">
        <v>0</v>
      </c>
      <c r="F31" s="7">
        <v>0</v>
      </c>
      <c r="G31" s="7">
        <v>4</v>
      </c>
      <c r="H31" s="7">
        <v>0</v>
      </c>
      <c r="J31" s="7">
        <v>1</v>
      </c>
      <c r="K31" s="5" t="s">
        <v>29</v>
      </c>
      <c r="L31" s="7">
        <f t="shared" si="0"/>
        <v>0</v>
      </c>
    </row>
    <row r="32" spans="1:13" x14ac:dyDescent="0.3">
      <c r="A32" s="21" t="s">
        <v>7</v>
      </c>
      <c r="B32" s="10">
        <f t="shared" ref="B32:H32" si="2">SUM(B3:B31)</f>
        <v>97</v>
      </c>
      <c r="C32" s="10">
        <f t="shared" si="2"/>
        <v>44</v>
      </c>
      <c r="D32" s="10"/>
      <c r="E32" s="10">
        <f t="shared" si="2"/>
        <v>6</v>
      </c>
      <c r="F32" s="10">
        <f t="shared" si="2"/>
        <v>2</v>
      </c>
      <c r="G32" s="10">
        <f t="shared" si="2"/>
        <v>24</v>
      </c>
      <c r="H32" s="10">
        <f t="shared" si="2"/>
        <v>14</v>
      </c>
      <c r="I32" s="29"/>
      <c r="J32" s="10">
        <f>SUM(J3:J31)</f>
        <v>5</v>
      </c>
      <c r="K32" s="11"/>
      <c r="L32" s="7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M32"/>
  <sheetViews>
    <sheetView zoomScale="70" zoomScaleNormal="70" workbookViewId="0">
      <selection activeCell="F24" sqref="F24"/>
    </sheetView>
  </sheetViews>
  <sheetFormatPr defaultRowHeight="14.4" outlineLevelCol="1" x14ac:dyDescent="0.3"/>
  <cols>
    <col min="1" max="1" width="13.44140625" customWidth="1"/>
    <col min="2" max="2" width="16.109375" customWidth="1"/>
    <col min="3" max="4" width="15.6640625" customWidth="1"/>
    <col min="5" max="5" width="13.6640625" customWidth="1"/>
    <col min="6" max="6" width="21.6640625" customWidth="1"/>
    <col min="7" max="7" width="12.77734375" customWidth="1"/>
    <col min="8" max="8" width="29.44140625" customWidth="1"/>
    <col min="9" max="9" width="62" customWidth="1" outlineLevel="1"/>
    <col min="10" max="10" width="27.77734375" customWidth="1" collapsed="1"/>
    <col min="11" max="11" width="63.109375" hidden="1" customWidth="1" outlineLevel="1"/>
    <col min="12" max="12" width="18.77734375" customWidth="1"/>
    <col min="13" max="13" width="34.77734375" customWidth="1"/>
  </cols>
  <sheetData>
    <row r="1" spans="1:12" s="2" customFormat="1" ht="46.2" customHeight="1" x14ac:dyDescent="0.5">
      <c r="A1" s="34" t="s">
        <v>6</v>
      </c>
    </row>
    <row r="2" spans="1:12" s="3" customFormat="1" ht="74.400000000000006" customHeight="1" x14ac:dyDescent="0.3">
      <c r="A2" s="13" t="s">
        <v>0</v>
      </c>
      <c r="B2" s="18" t="s">
        <v>1</v>
      </c>
      <c r="C2" s="18" t="s">
        <v>3</v>
      </c>
      <c r="D2" s="18" t="s">
        <v>46</v>
      </c>
      <c r="E2" s="17" t="s">
        <v>2</v>
      </c>
      <c r="F2" s="17" t="s">
        <v>13</v>
      </c>
      <c r="G2" s="17" t="s">
        <v>11</v>
      </c>
      <c r="H2" s="17" t="s">
        <v>10</v>
      </c>
      <c r="I2" s="16" t="s">
        <v>9</v>
      </c>
      <c r="J2" s="17" t="s">
        <v>12</v>
      </c>
      <c r="K2" s="16" t="s">
        <v>8</v>
      </c>
      <c r="L2" s="19" t="s">
        <v>14</v>
      </c>
    </row>
    <row r="3" spans="1:12" x14ac:dyDescent="0.3">
      <c r="A3" s="4">
        <v>44896</v>
      </c>
      <c r="B3" s="5"/>
      <c r="C3" s="5"/>
      <c r="D3" s="57" t="e">
        <f>IF(B3=0, NA(), C3/B3)</f>
        <v>#N/A</v>
      </c>
      <c r="E3" s="5"/>
      <c r="F3" s="5"/>
      <c r="G3" s="5"/>
      <c r="H3" s="5"/>
      <c r="I3" s="27"/>
      <c r="J3" s="5"/>
      <c r="K3" s="27"/>
      <c r="L3" s="7">
        <f t="shared" ref="L3:L31" si="0">B3-(C3+SUM(E3:J3))</f>
        <v>0</v>
      </c>
    </row>
    <row r="4" spans="1:12" x14ac:dyDescent="0.3">
      <c r="A4" s="4">
        <v>44927</v>
      </c>
      <c r="B4" s="6">
        <v>5</v>
      </c>
      <c r="C4" s="6">
        <v>2</v>
      </c>
      <c r="D4" s="57">
        <f>IF(B4=0, NA(), C4/B4)</f>
        <v>0.4</v>
      </c>
      <c r="E4" s="6">
        <v>1</v>
      </c>
      <c r="F4" s="6">
        <v>1</v>
      </c>
      <c r="G4" s="6"/>
      <c r="H4" s="6">
        <v>1</v>
      </c>
      <c r="I4" s="30" t="s">
        <v>16</v>
      </c>
      <c r="J4" s="6">
        <v>0</v>
      </c>
      <c r="K4" s="28"/>
      <c r="L4" s="7">
        <f t="shared" si="0"/>
        <v>0</v>
      </c>
    </row>
    <row r="5" spans="1:12" x14ac:dyDescent="0.3">
      <c r="A5" s="4">
        <v>44958</v>
      </c>
      <c r="B5" s="6">
        <v>8</v>
      </c>
      <c r="C5" s="6">
        <v>7</v>
      </c>
      <c r="D5" s="57">
        <f t="shared" ref="D5:D31" si="1">IF(B5=0, NA(), C5/B5)</f>
        <v>0.875</v>
      </c>
      <c r="E5" s="6">
        <v>0</v>
      </c>
      <c r="F5" s="6">
        <v>0</v>
      </c>
      <c r="G5" s="6">
        <v>0</v>
      </c>
      <c r="H5" s="6">
        <v>0</v>
      </c>
      <c r="I5" s="31"/>
      <c r="J5" s="6">
        <v>1</v>
      </c>
      <c r="K5" s="30" t="s">
        <v>17</v>
      </c>
      <c r="L5" s="7">
        <f t="shared" si="0"/>
        <v>0</v>
      </c>
    </row>
    <row r="6" spans="1:12" x14ac:dyDescent="0.3">
      <c r="A6" s="4">
        <v>44986</v>
      </c>
      <c r="B6" s="6">
        <v>4</v>
      </c>
      <c r="C6" s="6">
        <v>3</v>
      </c>
      <c r="D6" s="57">
        <f t="shared" si="1"/>
        <v>0.75</v>
      </c>
      <c r="E6" s="6">
        <v>0</v>
      </c>
      <c r="F6" s="6">
        <v>1</v>
      </c>
      <c r="G6" s="6">
        <v>0</v>
      </c>
      <c r="H6" s="6">
        <v>0</v>
      </c>
      <c r="I6" s="31"/>
      <c r="J6" s="6">
        <v>0</v>
      </c>
      <c r="K6" s="30"/>
      <c r="L6" s="7">
        <f t="shared" si="0"/>
        <v>0</v>
      </c>
    </row>
    <row r="7" spans="1:12" x14ac:dyDescent="0.3">
      <c r="A7" s="4">
        <v>45017</v>
      </c>
      <c r="B7" s="6">
        <v>3</v>
      </c>
      <c r="C7" s="6">
        <v>2</v>
      </c>
      <c r="D7" s="57">
        <f t="shared" si="1"/>
        <v>0.66666666666666663</v>
      </c>
      <c r="E7" s="6">
        <v>0</v>
      </c>
      <c r="F7" s="6">
        <v>1</v>
      </c>
      <c r="G7" s="6">
        <v>0</v>
      </c>
      <c r="H7" s="6">
        <v>0</v>
      </c>
      <c r="I7" s="31"/>
      <c r="J7" s="6">
        <v>0</v>
      </c>
      <c r="K7" s="30"/>
      <c r="L7" s="7">
        <f t="shared" si="0"/>
        <v>0</v>
      </c>
    </row>
    <row r="8" spans="1:12" x14ac:dyDescent="0.3">
      <c r="A8" s="4">
        <v>45047</v>
      </c>
      <c r="B8" s="6">
        <v>3</v>
      </c>
      <c r="C8" s="6">
        <v>2</v>
      </c>
      <c r="D8" s="57">
        <f t="shared" si="1"/>
        <v>0.66666666666666663</v>
      </c>
      <c r="E8" s="6">
        <v>0</v>
      </c>
      <c r="F8" s="6">
        <v>0</v>
      </c>
      <c r="G8" s="6">
        <v>1</v>
      </c>
      <c r="H8" s="6">
        <v>0</v>
      </c>
      <c r="I8" s="31"/>
      <c r="J8" s="6">
        <v>0</v>
      </c>
      <c r="K8" s="30"/>
      <c r="L8" s="7">
        <f t="shared" si="0"/>
        <v>0</v>
      </c>
    </row>
    <row r="9" spans="1:12" x14ac:dyDescent="0.3">
      <c r="A9" s="4">
        <v>45078</v>
      </c>
      <c r="B9" s="6">
        <v>6</v>
      </c>
      <c r="C9" s="6">
        <v>3</v>
      </c>
      <c r="D9" s="57">
        <f t="shared" si="1"/>
        <v>0.5</v>
      </c>
      <c r="E9" s="6">
        <v>1</v>
      </c>
      <c r="F9" s="6">
        <v>1</v>
      </c>
      <c r="G9" s="6">
        <v>0</v>
      </c>
      <c r="H9" s="6">
        <v>1</v>
      </c>
      <c r="I9" s="30" t="s">
        <v>16</v>
      </c>
      <c r="J9" s="6">
        <v>0</v>
      </c>
      <c r="K9" s="28"/>
      <c r="L9" s="7">
        <f t="shared" si="0"/>
        <v>0</v>
      </c>
    </row>
    <row r="10" spans="1:12" x14ac:dyDescent="0.3">
      <c r="A10" s="4">
        <v>45108</v>
      </c>
      <c r="B10" s="6">
        <v>3</v>
      </c>
      <c r="C10" s="6">
        <v>3</v>
      </c>
      <c r="D10" s="57">
        <f t="shared" si="1"/>
        <v>1</v>
      </c>
      <c r="E10" s="6">
        <v>0</v>
      </c>
      <c r="F10" s="6">
        <v>0</v>
      </c>
      <c r="G10" s="6">
        <v>0</v>
      </c>
      <c r="H10" s="6">
        <v>0</v>
      </c>
      <c r="I10" s="31"/>
      <c r="J10" s="6">
        <v>0</v>
      </c>
      <c r="K10" s="27"/>
      <c r="L10" s="7">
        <f t="shared" si="0"/>
        <v>0</v>
      </c>
    </row>
    <row r="11" spans="1:12" x14ac:dyDescent="0.3">
      <c r="A11" s="4">
        <v>45139</v>
      </c>
      <c r="B11" s="6">
        <v>1</v>
      </c>
      <c r="C11" s="6">
        <v>0</v>
      </c>
      <c r="D11" s="57">
        <f t="shared" si="1"/>
        <v>0</v>
      </c>
      <c r="E11" s="6">
        <v>0</v>
      </c>
      <c r="F11" s="6">
        <v>0</v>
      </c>
      <c r="G11" s="6">
        <v>0</v>
      </c>
      <c r="H11" s="6">
        <v>0</v>
      </c>
      <c r="I11" s="31"/>
      <c r="J11" s="6">
        <v>1</v>
      </c>
      <c r="K11" s="27" t="s">
        <v>18</v>
      </c>
      <c r="L11" s="7">
        <f t="shared" si="0"/>
        <v>0</v>
      </c>
    </row>
    <row r="12" spans="1:12" x14ac:dyDescent="0.3">
      <c r="A12" s="4">
        <v>45170</v>
      </c>
      <c r="B12" s="6">
        <v>3</v>
      </c>
      <c r="C12" s="6">
        <v>1</v>
      </c>
      <c r="D12" s="57">
        <f t="shared" si="1"/>
        <v>0.33333333333333331</v>
      </c>
      <c r="E12" s="6">
        <v>0</v>
      </c>
      <c r="F12" s="6">
        <v>0</v>
      </c>
      <c r="G12" s="6">
        <v>1</v>
      </c>
      <c r="H12" s="6">
        <v>1</v>
      </c>
      <c r="I12" s="27" t="s">
        <v>15</v>
      </c>
      <c r="J12" s="6">
        <v>0</v>
      </c>
      <c r="K12" s="28"/>
      <c r="L12" s="7">
        <f t="shared" si="0"/>
        <v>0</v>
      </c>
    </row>
    <row r="13" spans="1:12" x14ac:dyDescent="0.3">
      <c r="A13" s="4">
        <v>45200</v>
      </c>
      <c r="B13" s="6">
        <v>2</v>
      </c>
      <c r="C13" s="6">
        <v>2</v>
      </c>
      <c r="D13" s="57">
        <f t="shared" si="1"/>
        <v>1</v>
      </c>
      <c r="E13" s="6">
        <v>0</v>
      </c>
      <c r="F13" s="6">
        <v>0</v>
      </c>
      <c r="G13" s="6">
        <v>0</v>
      </c>
      <c r="H13" s="6">
        <v>0</v>
      </c>
      <c r="I13" s="31"/>
      <c r="J13" s="6">
        <v>0</v>
      </c>
      <c r="K13" s="27"/>
      <c r="L13" s="7">
        <f t="shared" si="0"/>
        <v>0</v>
      </c>
    </row>
    <row r="14" spans="1:12" x14ac:dyDescent="0.3">
      <c r="A14" s="4">
        <v>45231</v>
      </c>
      <c r="B14" s="6">
        <v>3</v>
      </c>
      <c r="C14" s="6">
        <v>1</v>
      </c>
      <c r="D14" s="57">
        <f t="shared" si="1"/>
        <v>0.33333333333333331</v>
      </c>
      <c r="E14" s="6">
        <v>0</v>
      </c>
      <c r="F14" s="6">
        <v>0</v>
      </c>
      <c r="G14" s="6">
        <v>2</v>
      </c>
      <c r="H14" s="6">
        <v>0</v>
      </c>
      <c r="I14" s="31"/>
      <c r="J14" s="6">
        <v>0</v>
      </c>
      <c r="K14" s="27"/>
      <c r="L14" s="7">
        <f t="shared" si="0"/>
        <v>0</v>
      </c>
    </row>
    <row r="15" spans="1:12" x14ac:dyDescent="0.3">
      <c r="A15" s="4">
        <v>45261</v>
      </c>
      <c r="B15" s="6">
        <v>2</v>
      </c>
      <c r="C15" s="6">
        <v>2</v>
      </c>
      <c r="D15" s="57">
        <f t="shared" si="1"/>
        <v>1</v>
      </c>
      <c r="E15" s="6">
        <v>0</v>
      </c>
      <c r="F15" s="6">
        <v>0</v>
      </c>
      <c r="G15" s="6">
        <v>0</v>
      </c>
      <c r="H15" s="6">
        <v>0</v>
      </c>
      <c r="I15" s="31"/>
      <c r="J15" s="6">
        <v>0</v>
      </c>
      <c r="K15" s="32"/>
      <c r="L15" s="7">
        <f t="shared" si="0"/>
        <v>0</v>
      </c>
    </row>
    <row r="16" spans="1:12" x14ac:dyDescent="0.3">
      <c r="A16" s="8">
        <v>45292</v>
      </c>
      <c r="B16" s="6">
        <v>3</v>
      </c>
      <c r="C16" s="6">
        <v>3</v>
      </c>
      <c r="D16" s="57">
        <f t="shared" si="1"/>
        <v>1</v>
      </c>
      <c r="E16" s="6">
        <v>0</v>
      </c>
      <c r="F16" s="6">
        <v>0</v>
      </c>
      <c r="G16" s="6">
        <v>0</v>
      </c>
      <c r="H16" s="6">
        <v>0</v>
      </c>
      <c r="I16" s="31"/>
      <c r="J16" s="6">
        <v>0</v>
      </c>
      <c r="K16" s="27"/>
      <c r="L16" s="7">
        <f t="shared" si="0"/>
        <v>0</v>
      </c>
    </row>
    <row r="17" spans="1:13" x14ac:dyDescent="0.3">
      <c r="A17" s="4">
        <v>45323</v>
      </c>
      <c r="B17" s="6">
        <v>4</v>
      </c>
      <c r="C17" s="6">
        <v>2</v>
      </c>
      <c r="D17" s="57">
        <f t="shared" si="1"/>
        <v>0.5</v>
      </c>
      <c r="E17" s="6">
        <v>0</v>
      </c>
      <c r="F17" s="6">
        <v>0</v>
      </c>
      <c r="G17" s="6">
        <v>2</v>
      </c>
      <c r="H17" s="6">
        <v>0</v>
      </c>
      <c r="I17" s="31"/>
      <c r="J17" s="6">
        <v>0</v>
      </c>
      <c r="K17" s="27"/>
      <c r="L17" s="7">
        <f t="shared" si="0"/>
        <v>0</v>
      </c>
    </row>
    <row r="18" spans="1:13" x14ac:dyDescent="0.3">
      <c r="A18" s="56">
        <v>45352</v>
      </c>
      <c r="B18" s="6">
        <v>13</v>
      </c>
      <c r="C18" s="6">
        <v>10</v>
      </c>
      <c r="D18" s="57">
        <f t="shared" si="1"/>
        <v>0.76923076923076927</v>
      </c>
      <c r="E18" s="6">
        <v>0</v>
      </c>
      <c r="F18" s="6">
        <v>0</v>
      </c>
      <c r="G18" s="6">
        <v>3</v>
      </c>
      <c r="H18" s="6">
        <v>0</v>
      </c>
      <c r="I18" s="31"/>
      <c r="J18" s="6">
        <v>0</v>
      </c>
      <c r="K18" s="5"/>
      <c r="L18" s="26">
        <f t="shared" si="0"/>
        <v>0</v>
      </c>
      <c r="M18" s="43"/>
    </row>
    <row r="19" spans="1:13" x14ac:dyDescent="0.3">
      <c r="A19" s="56">
        <v>45383</v>
      </c>
      <c r="B19" s="6">
        <v>3</v>
      </c>
      <c r="C19" s="6">
        <v>0</v>
      </c>
      <c r="D19" s="57">
        <f t="shared" si="1"/>
        <v>0</v>
      </c>
      <c r="E19" s="6">
        <v>0</v>
      </c>
      <c r="F19" s="6">
        <v>0</v>
      </c>
      <c r="G19" s="6">
        <v>0</v>
      </c>
      <c r="H19" s="6">
        <v>1</v>
      </c>
      <c r="I19" s="31" t="s">
        <v>15</v>
      </c>
      <c r="J19" s="6">
        <v>0</v>
      </c>
      <c r="K19" s="27"/>
      <c r="L19" s="26">
        <f t="shared" si="0"/>
        <v>2</v>
      </c>
      <c r="M19" s="42"/>
    </row>
    <row r="20" spans="1:13" x14ac:dyDescent="0.3">
      <c r="A20" s="4">
        <v>45413</v>
      </c>
      <c r="B20" s="6">
        <v>4</v>
      </c>
      <c r="C20" s="6">
        <v>4</v>
      </c>
      <c r="D20" s="57">
        <f t="shared" si="1"/>
        <v>1</v>
      </c>
      <c r="E20" s="6">
        <v>0</v>
      </c>
      <c r="F20" s="6">
        <v>0</v>
      </c>
      <c r="G20" s="6">
        <v>0</v>
      </c>
      <c r="H20" s="6">
        <v>0</v>
      </c>
      <c r="I20" s="31"/>
      <c r="J20" s="6">
        <v>0</v>
      </c>
      <c r="K20" s="32"/>
      <c r="L20" s="7">
        <f t="shared" si="0"/>
        <v>0</v>
      </c>
    </row>
    <row r="21" spans="1:13" x14ac:dyDescent="0.3">
      <c r="A21" s="4">
        <v>45444</v>
      </c>
      <c r="B21" s="6">
        <v>5</v>
      </c>
      <c r="C21" s="6">
        <v>4</v>
      </c>
      <c r="D21" s="57">
        <f t="shared" si="1"/>
        <v>0.8</v>
      </c>
      <c r="E21" s="6">
        <v>0</v>
      </c>
      <c r="F21" s="6">
        <v>0</v>
      </c>
      <c r="G21" s="6">
        <v>1</v>
      </c>
      <c r="H21" s="7">
        <v>0</v>
      </c>
      <c r="I21" s="27"/>
      <c r="J21" s="6">
        <v>0</v>
      </c>
      <c r="K21" s="32"/>
      <c r="L21" s="7">
        <f t="shared" si="0"/>
        <v>0</v>
      </c>
    </row>
    <row r="22" spans="1:13" x14ac:dyDescent="0.3">
      <c r="A22" s="4">
        <v>45474</v>
      </c>
      <c r="B22" s="6">
        <v>7</v>
      </c>
      <c r="C22" s="6">
        <v>3</v>
      </c>
      <c r="D22" s="57">
        <f t="shared" si="1"/>
        <v>0.42857142857142855</v>
      </c>
      <c r="E22" s="6">
        <v>1</v>
      </c>
      <c r="F22" s="6">
        <v>1</v>
      </c>
      <c r="G22" s="6">
        <v>1</v>
      </c>
      <c r="H22" s="6">
        <v>2</v>
      </c>
      <c r="I22" s="31" t="s">
        <v>15</v>
      </c>
      <c r="J22" s="6">
        <v>0</v>
      </c>
      <c r="K22" s="27"/>
      <c r="L22" s="7">
        <f t="shared" si="0"/>
        <v>-1</v>
      </c>
    </row>
    <row r="23" spans="1:13" x14ac:dyDescent="0.3">
      <c r="A23" s="4">
        <v>45505</v>
      </c>
      <c r="B23" s="6">
        <v>2</v>
      </c>
      <c r="C23" s="6">
        <v>1</v>
      </c>
      <c r="D23" s="57">
        <f t="shared" si="1"/>
        <v>0.5</v>
      </c>
      <c r="E23" s="6">
        <v>1</v>
      </c>
      <c r="F23" s="6">
        <v>0</v>
      </c>
      <c r="G23" s="6">
        <v>0</v>
      </c>
      <c r="H23" s="7">
        <v>0</v>
      </c>
      <c r="I23" s="27"/>
      <c r="J23" s="6">
        <v>0</v>
      </c>
      <c r="K23" s="27"/>
      <c r="L23" s="7">
        <f t="shared" si="0"/>
        <v>0</v>
      </c>
    </row>
    <row r="24" spans="1:13" x14ac:dyDescent="0.3">
      <c r="A24" s="4">
        <v>45536</v>
      </c>
      <c r="B24" s="6">
        <v>7</v>
      </c>
      <c r="C24" s="6">
        <v>4</v>
      </c>
      <c r="D24" s="57">
        <f t="shared" si="1"/>
        <v>0.5714285714285714</v>
      </c>
      <c r="E24" s="6">
        <v>0</v>
      </c>
      <c r="F24" s="6">
        <v>0</v>
      </c>
      <c r="G24" s="6">
        <v>0</v>
      </c>
      <c r="H24" s="7">
        <v>3</v>
      </c>
      <c r="I24" s="27" t="s">
        <v>19</v>
      </c>
      <c r="J24" s="6">
        <v>0</v>
      </c>
      <c r="K24" s="27"/>
      <c r="L24" s="7">
        <f t="shared" si="0"/>
        <v>0</v>
      </c>
    </row>
    <row r="25" spans="1:13" x14ac:dyDescent="0.3">
      <c r="A25" s="4">
        <v>45566</v>
      </c>
      <c r="B25" s="6">
        <v>4</v>
      </c>
      <c r="C25" s="6">
        <v>2</v>
      </c>
      <c r="D25" s="57">
        <f t="shared" si="1"/>
        <v>0.5</v>
      </c>
      <c r="E25" s="6">
        <v>0</v>
      </c>
      <c r="F25" s="6">
        <v>0</v>
      </c>
      <c r="G25" s="6">
        <v>2</v>
      </c>
      <c r="H25" s="7">
        <v>0</v>
      </c>
      <c r="I25" s="27"/>
      <c r="J25" s="6">
        <v>0</v>
      </c>
      <c r="K25" s="27"/>
      <c r="L25" s="7">
        <f t="shared" si="0"/>
        <v>0</v>
      </c>
    </row>
    <row r="26" spans="1:13" x14ac:dyDescent="0.3">
      <c r="A26" s="4">
        <v>45597</v>
      </c>
      <c r="B26" s="6">
        <v>0</v>
      </c>
      <c r="C26" s="6">
        <v>0</v>
      </c>
      <c r="D26" s="57" t="e">
        <f t="shared" si="1"/>
        <v>#N/A</v>
      </c>
      <c r="E26" s="6">
        <v>0</v>
      </c>
      <c r="F26" s="6">
        <v>0</v>
      </c>
      <c r="G26" s="6">
        <v>0</v>
      </c>
      <c r="H26" s="7">
        <v>0</v>
      </c>
      <c r="I26" s="27"/>
      <c r="J26" s="6">
        <v>0</v>
      </c>
      <c r="K26" s="27"/>
      <c r="L26" s="7">
        <f t="shared" si="0"/>
        <v>0</v>
      </c>
    </row>
    <row r="27" spans="1:13" x14ac:dyDescent="0.3">
      <c r="A27" s="4">
        <v>45627</v>
      </c>
      <c r="B27" s="6">
        <v>3</v>
      </c>
      <c r="C27" s="6">
        <v>2</v>
      </c>
      <c r="D27" s="57">
        <f t="shared" si="1"/>
        <v>0.66666666666666663</v>
      </c>
      <c r="E27" s="6">
        <v>0</v>
      </c>
      <c r="F27" s="6">
        <v>0</v>
      </c>
      <c r="G27" s="6">
        <v>0</v>
      </c>
      <c r="H27" s="7">
        <v>1</v>
      </c>
      <c r="I27" s="27" t="s">
        <v>20</v>
      </c>
      <c r="J27" s="6">
        <v>0</v>
      </c>
      <c r="K27" s="27"/>
      <c r="L27" s="7">
        <f t="shared" si="0"/>
        <v>0</v>
      </c>
    </row>
    <row r="28" spans="1:13" x14ac:dyDescent="0.3">
      <c r="A28" s="4">
        <v>45658</v>
      </c>
      <c r="B28" s="6">
        <v>3</v>
      </c>
      <c r="C28" s="6">
        <v>2</v>
      </c>
      <c r="D28" s="57">
        <f t="shared" si="1"/>
        <v>0.66666666666666663</v>
      </c>
      <c r="E28" s="6">
        <v>0</v>
      </c>
      <c r="F28" s="6">
        <v>1</v>
      </c>
      <c r="G28" s="6">
        <v>0</v>
      </c>
      <c r="H28" s="7">
        <v>0</v>
      </c>
      <c r="I28" s="28"/>
      <c r="J28" s="6">
        <v>0</v>
      </c>
      <c r="K28" s="27"/>
      <c r="L28" s="7">
        <f t="shared" si="0"/>
        <v>0</v>
      </c>
    </row>
    <row r="29" spans="1:13" x14ac:dyDescent="0.3">
      <c r="A29" s="4">
        <v>45689</v>
      </c>
      <c r="B29" s="6">
        <v>0</v>
      </c>
      <c r="C29" s="6">
        <v>0</v>
      </c>
      <c r="D29" s="57" t="e">
        <f t="shared" si="1"/>
        <v>#N/A</v>
      </c>
      <c r="E29" s="6">
        <v>0</v>
      </c>
      <c r="F29" s="6">
        <v>0</v>
      </c>
      <c r="G29" s="6">
        <v>0</v>
      </c>
      <c r="H29" s="7">
        <v>0</v>
      </c>
      <c r="I29" s="27"/>
      <c r="J29" s="6">
        <v>0</v>
      </c>
      <c r="K29" s="27"/>
      <c r="L29" s="7">
        <f t="shared" si="0"/>
        <v>0</v>
      </c>
    </row>
    <row r="30" spans="1:13" x14ac:dyDescent="0.3">
      <c r="A30" s="4">
        <v>45717</v>
      </c>
      <c r="B30" s="6">
        <v>1</v>
      </c>
      <c r="C30" s="6">
        <v>1</v>
      </c>
      <c r="D30" s="57">
        <f t="shared" si="1"/>
        <v>1</v>
      </c>
      <c r="E30" s="6">
        <v>0</v>
      </c>
      <c r="F30" s="6">
        <v>0</v>
      </c>
      <c r="G30" s="6">
        <v>0</v>
      </c>
      <c r="H30" s="7">
        <v>0</v>
      </c>
      <c r="I30" s="27"/>
      <c r="J30" s="6">
        <v>0</v>
      </c>
      <c r="K30" s="27"/>
      <c r="L30" s="7">
        <f t="shared" si="0"/>
        <v>0</v>
      </c>
    </row>
    <row r="31" spans="1:13" x14ac:dyDescent="0.3">
      <c r="A31" s="4">
        <v>45748</v>
      </c>
      <c r="B31" s="6">
        <v>1</v>
      </c>
      <c r="C31" s="6">
        <v>0</v>
      </c>
      <c r="D31" s="57">
        <f t="shared" si="1"/>
        <v>0</v>
      </c>
      <c r="E31" s="6">
        <v>0</v>
      </c>
      <c r="F31" s="6">
        <v>1</v>
      </c>
      <c r="G31" s="6">
        <v>0</v>
      </c>
      <c r="H31" s="7">
        <v>1</v>
      </c>
      <c r="I31" s="27"/>
      <c r="J31" s="6">
        <v>0</v>
      </c>
      <c r="K31" s="27"/>
      <c r="L31" s="7">
        <f t="shared" si="0"/>
        <v>-1</v>
      </c>
    </row>
    <row r="32" spans="1:13" x14ac:dyDescent="0.3">
      <c r="A32" s="15" t="s">
        <v>7</v>
      </c>
      <c r="B32" s="10">
        <f t="shared" ref="B32:H32" si="2">SUM(B3:B31)</f>
        <v>103</v>
      </c>
      <c r="C32" s="10">
        <f t="shared" si="2"/>
        <v>66</v>
      </c>
      <c r="D32" s="10"/>
      <c r="E32" s="10">
        <f t="shared" si="2"/>
        <v>4</v>
      </c>
      <c r="F32" s="10">
        <f t="shared" si="2"/>
        <v>7</v>
      </c>
      <c r="G32" s="10">
        <f t="shared" si="2"/>
        <v>13</v>
      </c>
      <c r="H32" s="10">
        <f t="shared" si="2"/>
        <v>11</v>
      </c>
      <c r="I32" s="29"/>
      <c r="J32" s="10">
        <f>SUM(J3:J31)</f>
        <v>2</v>
      </c>
      <c r="K32" s="29"/>
      <c r="L32" s="7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B3A2-D9A9-4FA2-9303-CD612A5F5FEA}">
  <dimension ref="A1:I116"/>
  <sheetViews>
    <sheetView tabSelected="1" zoomScale="55" zoomScaleNormal="55" workbookViewId="0">
      <selection activeCell="P27" sqref="P27"/>
    </sheetView>
  </sheetViews>
  <sheetFormatPr defaultRowHeight="14.4" x14ac:dyDescent="0.3"/>
  <cols>
    <col min="1" max="1" width="17" customWidth="1"/>
    <col min="2" max="2" width="17.6640625" customWidth="1"/>
    <col min="3" max="3" width="20" customWidth="1"/>
    <col min="4" max="4" width="19.5546875" customWidth="1"/>
    <col min="5" max="5" width="20.88671875" customWidth="1"/>
    <col min="6" max="6" width="16.77734375" customWidth="1"/>
    <col min="7" max="7" width="17.5546875" customWidth="1"/>
    <col min="8" max="8" width="18.44140625" customWidth="1"/>
    <col min="9" max="9" width="23.21875" customWidth="1"/>
  </cols>
  <sheetData>
    <row r="1" spans="1:9" s="47" customFormat="1" ht="47.4" customHeight="1" x14ac:dyDescent="0.5">
      <c r="A1" s="49" t="s">
        <v>42</v>
      </c>
    </row>
    <row r="2" spans="1:9" ht="47.4" customHeight="1" x14ac:dyDescent="0.3">
      <c r="A2" s="44" t="s">
        <v>35</v>
      </c>
      <c r="B2" s="44" t="s">
        <v>1</v>
      </c>
      <c r="C2" s="44" t="s">
        <v>3</v>
      </c>
      <c r="D2" s="46" t="s">
        <v>2</v>
      </c>
      <c r="E2" s="46" t="s">
        <v>37</v>
      </c>
      <c r="F2" s="46" t="s">
        <v>11</v>
      </c>
      <c r="G2" s="46" t="s">
        <v>38</v>
      </c>
      <c r="H2" s="50" t="s">
        <v>39</v>
      </c>
      <c r="I2" s="52"/>
    </row>
    <row r="3" spans="1:9" ht="39.6" customHeight="1" x14ac:dyDescent="0.3">
      <c r="A3" s="45" t="s">
        <v>36</v>
      </c>
      <c r="B3" s="48">
        <f>'Location 1'!B32</f>
        <v>96</v>
      </c>
      <c r="C3" s="48">
        <f>'Location 1'!C32</f>
        <v>42</v>
      </c>
      <c r="D3" s="48">
        <f>'Location 1'!E32</f>
        <v>3</v>
      </c>
      <c r="E3" s="48">
        <f>'Location 1'!F32</f>
        <v>9</v>
      </c>
      <c r="F3" s="48">
        <f>'Location 1'!G32</f>
        <v>17</v>
      </c>
      <c r="G3" s="48">
        <f>'Location 1'!H32</f>
        <v>15</v>
      </c>
      <c r="H3" s="51">
        <f>'Location 1'!J32</f>
        <v>2</v>
      </c>
      <c r="I3" s="53"/>
    </row>
    <row r="4" spans="1:9" ht="39" customHeight="1" x14ac:dyDescent="0.3">
      <c r="A4" s="54" t="s">
        <v>40</v>
      </c>
      <c r="B4" s="7">
        <f>'Location 2'!B32</f>
        <v>97</v>
      </c>
      <c r="C4" s="48">
        <f>'Location 2'!C32</f>
        <v>44</v>
      </c>
      <c r="D4" s="48">
        <f>'Location 2'!E32</f>
        <v>6</v>
      </c>
      <c r="E4" s="48">
        <f>'Location 2'!F32</f>
        <v>2</v>
      </c>
      <c r="F4" s="48">
        <f>'Location 2'!G32</f>
        <v>24</v>
      </c>
      <c r="G4" s="48">
        <f>'Location 2'!H32</f>
        <v>14</v>
      </c>
      <c r="H4" s="48">
        <f>'Location 2'!J32</f>
        <v>5</v>
      </c>
    </row>
    <row r="5" spans="1:9" ht="40.200000000000003" customHeight="1" x14ac:dyDescent="0.3">
      <c r="A5" s="55" t="s">
        <v>41</v>
      </c>
      <c r="B5" s="7">
        <f>'Location 3'!B32</f>
        <v>103</v>
      </c>
      <c r="C5" s="48">
        <f>'Location 3'!C32</f>
        <v>66</v>
      </c>
      <c r="D5" s="48">
        <f>'Location 3'!E32</f>
        <v>4</v>
      </c>
      <c r="E5" s="48">
        <f>'Location 3'!F32</f>
        <v>7</v>
      </c>
      <c r="F5" s="48">
        <f>'Location 3'!G32</f>
        <v>13</v>
      </c>
      <c r="G5" s="48">
        <f>'Location 3'!H32</f>
        <v>11</v>
      </c>
      <c r="H5" s="48">
        <f>'Location 3'!J32</f>
        <v>2</v>
      </c>
    </row>
    <row r="51" spans="1:1" s="47" customFormat="1" ht="46.8" customHeight="1" x14ac:dyDescent="0.5">
      <c r="A51" s="49" t="s">
        <v>43</v>
      </c>
    </row>
    <row r="116" spans="1:1" s="47" customFormat="1" ht="46.8" customHeight="1" x14ac:dyDescent="0.5">
      <c r="A116" s="49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 1</vt:lpstr>
      <vt:lpstr>Location 2</vt:lpstr>
      <vt:lpstr>Location 3</vt:lpstr>
      <vt:lpstr>Summary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Broome Rachel (R1L) Essex Partnership</dc:creator>
  <cp:lastModifiedBy>Matteo Cacialli</cp:lastModifiedBy>
  <dcterms:created xsi:type="dcterms:W3CDTF">2023-04-25T14:38:06Z</dcterms:created>
  <dcterms:modified xsi:type="dcterms:W3CDTF">2026-03-10T02:09:27Z</dcterms:modified>
</cp:coreProperties>
</file>